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Kurva Statis" sheetId="2" state="visible" r:id="rId4"/>
    <sheet name="Respons Ste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Diinput manual dari pengamatan uji variasi PWM 23-10-2026 (motor berhenti di sekitar PWM 95).</t>
        </r>
      </text>
    </comment>
    <comment ref="C5" authorId="0">
      <text>
        <r>
          <rPr>
            <sz val="10"/>
            <rFont val="Arial"/>
            <family val="2"/>
          </rPr>
          <t xml:space="preserve">Nilai simulator imclab_sim.py dengan parameter motor asumsi (sebelum kalibrasi).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Baris tidak ikut tersalin dari Serial Monitor; diisi 0 (PWM 60–160 juga 0).</t>
        </r>
      </text>
    </comment>
    <comment ref="B6" authorId="0">
      <text>
        <r>
          <rPr>
            <sz val="10"/>
            <rFont val="Arial"/>
            <family val="2"/>
          </rPr>
          <t xml:space="preserve">Baris tidak ikut tersalin dari Serial Monitor; diisi 0 (PWM 60–160 juga 0).</t>
        </r>
      </text>
    </comment>
    <comment ref="B7" authorId="0">
      <text>
        <r>
          <rPr>
            <sz val="10"/>
            <rFont val="Arial"/>
            <family val="2"/>
          </rPr>
          <t xml:space="preserve">Baris tidak ikut tersalin dari Serial Monitor; diisi 0 (PWM 60–160 juga 0).</t>
        </r>
      </text>
    </comment>
    <comment ref="B8" authorId="0">
      <text>
        <r>
          <rPr>
            <sz val="10"/>
            <rFont val="Arial"/>
            <family val="2"/>
          </rPr>
          <t xml:space="preserve">Baris tidak ikut tersalin dari Serial Monitor; diisi 0 (PWM 60–160 juga 0).</t>
        </r>
      </text>
    </comment>
    <comment ref="B9" authorId="0">
      <text>
        <r>
          <rPr>
            <sz val="10"/>
            <rFont val="Arial"/>
            <family val="2"/>
          </rPr>
          <t xml:space="preserve">Baris tidak ikut tersalin dari Serial Monitor; diisi 0 (PWM 60–160 juga 0).</t>
        </r>
      </text>
    </comment>
    <comment ref="B10" authorId="0">
      <text>
        <r>
          <rPr>
            <sz val="10"/>
            <rFont val="Arial"/>
            <family val="2"/>
          </rPr>
          <t xml:space="preserve">Baris tidak ikut tersalin dari Serial Monitor; diisi 0 (PWM 60–160 juga 0).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Fit bebas scipy curve_fit (RMSE 15 RPM)</t>
        </r>
      </text>
    </comment>
    <comment ref="B5" authorId="0">
      <text>
        <r>
          <rPr>
            <sz val="10"/>
            <rFont val="Arial"/>
            <family val="2"/>
          </rPr>
          <t xml:space="preserve">Konstanta waktu hasil fit</t>
        </r>
      </text>
    </comment>
    <comment ref="B6" authorId="0">
      <text>
        <r>
          <rPr>
            <sz val="10"/>
            <rFont val="Arial"/>
            <family val="2"/>
          </rPr>
          <t xml:space="preserve">Waktu tunda hasil fit</t>
        </r>
      </text>
    </comment>
  </commentList>
</comments>
</file>

<file path=xl/sharedStrings.xml><?xml version="1.0" encoding="utf-8"?>
<sst xmlns="http://schemas.openxmlformats.org/spreadsheetml/2006/main" count="45" uniqueCount="43">
  <si>
    <t xml:space="preserve">Karakterisasi Motor iMCLab — Kit Asli vs Simulasi</t>
  </si>
  <si>
    <t xml:space="preserve">Kelvin Sitorus (24081010341) · Robotika — Prof. Basuki Rahmat · Modul 1, uji 23 Oktober 2026</t>
  </si>
  <si>
    <t xml:space="preserve">Yang diukur</t>
  </si>
  <si>
    <t xml:space="preserve">Kit asli</t>
  </si>
  <si>
    <t xml:space="preserve">Simulasi sebelumnya (asumsi)</t>
  </si>
  <si>
    <t xml:space="preserve">Rasio kit / simulasi</t>
  </si>
  <si>
    <t xml:space="preserve">Catatan</t>
  </si>
  <si>
    <t xml:space="preserve">PWM mulai berputar dari diam</t>
  </si>
  <si>
    <t xml:space="preserve">PWM terkecil dengan RPM &gt; 0 pada sweep naik</t>
  </si>
  <si>
    <t xml:space="preserve">Kecepatan maksimum (RPM)</t>
  </si>
  <si>
    <t xml:space="preserve">Jenuh pada PWM ≥ 240</t>
  </si>
  <si>
    <t xml:space="preserve">RPM pada PWM 200</t>
  </si>
  <si>
    <t xml:space="preserve">Uji manual sebelumnya ±7.400 RPM</t>
  </si>
  <si>
    <t xml:space="preserve">Kemiringan PWM 170–230 (RPM/PWM)</t>
  </si>
  <si>
    <t xml:space="preserve">Regresi linear; kurva aslinya melengkung (84–213 RPM/PWM)</t>
  </si>
  <si>
    <t xml:space="preserve">Konstanta waktu τ (s)</t>
  </si>
  <si>
    <t xml:space="preserve">Fit FOPDT respons step 0 → 200</t>
  </si>
  <si>
    <t xml:space="preserve">Waktu tunda θ (s)</t>
  </si>
  <si>
    <t xml:space="preserve">Gesekan statis harus diatasi dulu</t>
  </si>
  <si>
    <t xml:space="preserve">PWM motor berhenti (sudah berputar)</t>
  </si>
  <si>
    <t xml:space="preserve">—</t>
  </si>
  <si>
    <t xml:space="preserve">Dari uji variasi PWM manual (perkiraan); dipakai untuk histeresis</t>
  </si>
  <si>
    <t xml:space="preserve">Temuan</t>
  </si>
  <si>
    <t xml:space="preserve">1. Histeresis gesekan: dari diam motor baru berputar di PWM 170, tetapi motor yang sudah berputar baru berhenti di sekitar PWM 95 (gesekan statis &gt; gesekan kinetis).</t>
  </si>
  <si>
    <t xml:space="preserve">2. Motor ±3 kali lebih lambat dari perkiraan simulasi (τ ≈ 0,6 s vs 0,2 s); model FOPDT menempel ke data dengan RMSE ±15 RPM.</t>
  </si>
  <si>
    <t xml:space="preserve">3. 0 RPM pada 240 ms pertama: ±0,1 s tunda fisik (gesekan) + tunda pengukuran (metode period butuh 5 putaran sebelum melapor).</t>
  </si>
  <si>
    <t xml:space="preserve">4. Simulator perlu dikalibrasi ulang dengan angka-angka ini sebelum dipakai di Modul 2–3.</t>
  </si>
  <si>
    <t xml:space="preserve">Legenda: biru = data/input tetap · hijau = diambil dari sheet lain · kuning (sheet Respons Step) = parameter model yang boleh diubah</t>
  </si>
  <si>
    <t xml:space="preserve">Kurva statis PWM vs RPM — kit iMCLab (sweep naik, jendela 1 s)</t>
  </si>
  <si>
    <t xml:space="preserve">Sumber: Serial Monitor sketch 04_Karakterisasi_Otomatis, 23-10-2026 (data_kit.csv). PWM 0–50 tidak tersalin, diisi 0.</t>
  </si>
  <si>
    <t xml:space="preserve">PWM</t>
  </si>
  <si>
    <t xml:space="preserve">RPM terukur</t>
  </si>
  <si>
    <t xml:space="preserve">Kemiringan (RPM/PWM)</t>
  </si>
  <si>
    <t xml:space="preserve">Status</t>
  </si>
  <si>
    <t xml:space="preserve">Respons step PWM 0 → 200 — kit iMCLab (metode period, tiap 10 ms)</t>
  </si>
  <si>
    <t xml:space="preserve">Model FOPDT: y = K·(1 − e^(−(t−θ)/τ)) untuk t &gt; θ. Parameter (kuning) hasil curve_fit di analisis_karakterisasi.py; ubah untuk mencoba.</t>
  </si>
  <si>
    <t xml:space="preserve">K (RPM)</t>
  </si>
  <si>
    <t xml:space="preserve">τ (s)</t>
  </si>
  <si>
    <t xml:space="preserve">θ (s)</t>
  </si>
  <si>
    <t xml:space="preserve">RMSE model (RPM, sampel RPM&gt;0)</t>
  </si>
  <si>
    <t xml:space="preserve">t (s)</t>
  </si>
  <si>
    <t xml:space="preserve">RPM model FOPDT</t>
  </si>
  <si>
    <t xml:space="preserve">Selisih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</si>
</sst>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\x"/>
    <numFmt numFmtId="167" formatCode="#,##0"/>
    <numFmt numFmtId="168" formatCode="0.0"/>
    <numFmt numFmtId="169" formatCode="0.00"/>
    <numFmt numFmtId="170" formatCode="#,##0;\-#,##0;\-"/>
    <numFmt numFmtId="171" formatCode="0.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3C992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PWM vs RPM (kit asli)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circle"/>
            <c:size val="5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'Kurva Statis'!$A$5:$A$30</c:f>
              <c:numCache>
                <c:formatCode>General</c:formatCode>
                <c:ptCount val="2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</c:numCache>
            </c:numRef>
          </c:xVal>
          <c:yVal>
            <c:numRef>
              <c:f>'Kurva Statis'!$B$5:$B$30</c:f>
              <c:numCache>
                <c:formatCode>#,##0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3300</c:v>
                </c:pt>
                <c:pt idx="18">
                  <c:v>4140</c:v>
                </c:pt>
                <c:pt idx="19">
                  <c:v>5070</c:v>
                </c:pt>
                <c:pt idx="20">
                  <c:v>6180</c:v>
                </c:pt>
                <c:pt idx="21">
                  <c:v>7650</c:v>
                </c:pt>
                <c:pt idx="22">
                  <c:v>9660</c:v>
                </c:pt>
                <c:pt idx="23">
                  <c:v>11790</c:v>
                </c:pt>
                <c:pt idx="24">
                  <c:v>11880</c:v>
                </c:pt>
                <c:pt idx="25">
                  <c:v>11880</c:v>
                </c:pt>
              </c:numCache>
            </c:numRef>
          </c:yVal>
          <c:smooth val="1"/>
        </c:ser>
        <c:axId val="47412926"/>
        <c:axId val="84158492"/>
      </c:scatterChart>
      <c:valAx>
        <c:axId val="4741292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PWM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158492"/>
        <c:crosses val="autoZero"/>
        <c:crossBetween val="midCat"/>
      </c:valAx>
      <c:valAx>
        <c:axId val="841584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41292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Respons step: data vs model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'Respons Step'!B10</c:f>
              <c:strCache>
                <c:ptCount val="1"/>
                <c:pt idx="0">
                  <c:v>RPM terukur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3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'Respons Step'!$A$11:$A$160</c:f>
              <c:numCache>
                <c:formatCode>0.00</c:formatCode>
                <c:ptCount val="15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</c:v>
                </c:pt>
                <c:pt idx="110">
                  <c:v>1.1</c:v>
                </c:pt>
                <c:pt idx="111">
                  <c:v>1.11</c:v>
                </c:pt>
                <c:pt idx="112">
                  <c:v>1.12</c:v>
                </c:pt>
                <c:pt idx="113">
                  <c:v>1.13</c:v>
                </c:pt>
                <c:pt idx="114">
                  <c:v>1.14</c:v>
                </c:pt>
                <c:pt idx="115">
                  <c:v>1.15</c:v>
                </c:pt>
                <c:pt idx="116">
                  <c:v>1.16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</c:numCache>
            </c:numRef>
          </c:xVal>
          <c:yVal>
            <c:numRef>
              <c:f>'Respons Step'!$B$11:$B$160</c:f>
              <c:numCache>
                <c:formatCode>#,##0</c:formatCode>
                <c:ptCount val="1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1235.6</c:v>
                </c:pt>
                <c:pt idx="25">
                  <c:v>1396.1</c:v>
                </c:pt>
                <c:pt idx="26">
                  <c:v>1396.1</c:v>
                </c:pt>
                <c:pt idx="27">
                  <c:v>1532.3</c:v>
                </c:pt>
                <c:pt idx="28">
                  <c:v>1532.3</c:v>
                </c:pt>
                <c:pt idx="29">
                  <c:v>1658.1</c:v>
                </c:pt>
                <c:pt idx="30">
                  <c:v>1769.5</c:v>
                </c:pt>
                <c:pt idx="31">
                  <c:v>1769.5</c:v>
                </c:pt>
                <c:pt idx="32">
                  <c:v>1874.6</c:v>
                </c:pt>
                <c:pt idx="33">
                  <c:v>1970.2</c:v>
                </c:pt>
                <c:pt idx="34">
                  <c:v>2062.6</c:v>
                </c:pt>
                <c:pt idx="35">
                  <c:v>2062.6</c:v>
                </c:pt>
                <c:pt idx="36">
                  <c:v>2147.3</c:v>
                </c:pt>
                <c:pt idx="37">
                  <c:v>2228.3</c:v>
                </c:pt>
                <c:pt idx="38">
                  <c:v>2303.1</c:v>
                </c:pt>
                <c:pt idx="39">
                  <c:v>2376.6</c:v>
                </c:pt>
                <c:pt idx="40">
                  <c:v>2445.5</c:v>
                </c:pt>
                <c:pt idx="41">
                  <c:v>2513.2</c:v>
                </c:pt>
                <c:pt idx="42">
                  <c:v>2513.2</c:v>
                </c:pt>
                <c:pt idx="43">
                  <c:v>2576.7</c:v>
                </c:pt>
                <c:pt idx="44">
                  <c:v>2639.5</c:v>
                </c:pt>
                <c:pt idx="45">
                  <c:v>2697.6</c:v>
                </c:pt>
                <c:pt idx="46">
                  <c:v>2756</c:v>
                </c:pt>
                <c:pt idx="47">
                  <c:v>2811.1</c:v>
                </c:pt>
                <c:pt idx="48">
                  <c:v>2865.6</c:v>
                </c:pt>
                <c:pt idx="49">
                  <c:v>2917.6</c:v>
                </c:pt>
                <c:pt idx="50">
                  <c:v>2969.6</c:v>
                </c:pt>
                <c:pt idx="51">
                  <c:v>3018.6</c:v>
                </c:pt>
                <c:pt idx="52">
                  <c:v>3067.2</c:v>
                </c:pt>
                <c:pt idx="53">
                  <c:v>3159.2</c:v>
                </c:pt>
                <c:pt idx="54">
                  <c:v>3202.6</c:v>
                </c:pt>
                <c:pt idx="55">
                  <c:v>3245.9</c:v>
                </c:pt>
                <c:pt idx="56">
                  <c:v>3287.3</c:v>
                </c:pt>
                <c:pt idx="57">
                  <c:v>3328.9</c:v>
                </c:pt>
                <c:pt idx="58">
                  <c:v>3368.9</c:v>
                </c:pt>
                <c:pt idx="59">
                  <c:v>3408.1</c:v>
                </c:pt>
                <c:pt idx="60">
                  <c:v>3482.9</c:v>
                </c:pt>
                <c:pt idx="61">
                  <c:v>3519.1</c:v>
                </c:pt>
                <c:pt idx="62">
                  <c:v>3555.3</c:v>
                </c:pt>
                <c:pt idx="63">
                  <c:v>3589.8</c:v>
                </c:pt>
                <c:pt idx="64">
                  <c:v>3656.1</c:v>
                </c:pt>
                <c:pt idx="65">
                  <c:v>3689.6</c:v>
                </c:pt>
                <c:pt idx="66">
                  <c:v>3721.4</c:v>
                </c:pt>
                <c:pt idx="67">
                  <c:v>3754.5</c:v>
                </c:pt>
                <c:pt idx="68">
                  <c:v>3815.1</c:v>
                </c:pt>
                <c:pt idx="69">
                  <c:v>3844.4</c:v>
                </c:pt>
                <c:pt idx="70">
                  <c:v>3874.2</c:v>
                </c:pt>
                <c:pt idx="71">
                  <c:v>3930.8</c:v>
                </c:pt>
                <c:pt idx="72">
                  <c:v>3958.3</c:v>
                </c:pt>
                <c:pt idx="73">
                  <c:v>3985.9</c:v>
                </c:pt>
                <c:pt idx="74">
                  <c:v>4038.8</c:v>
                </c:pt>
                <c:pt idx="75">
                  <c:v>4064.5</c:v>
                </c:pt>
                <c:pt idx="76">
                  <c:v>4090.3</c:v>
                </c:pt>
                <c:pt idx="77">
                  <c:v>4140.2</c:v>
                </c:pt>
                <c:pt idx="78">
                  <c:v>4164.4</c:v>
                </c:pt>
                <c:pt idx="79">
                  <c:v>4212.9</c:v>
                </c:pt>
                <c:pt idx="80">
                  <c:v>4236.1</c:v>
                </c:pt>
                <c:pt idx="81">
                  <c:v>4281.1</c:v>
                </c:pt>
                <c:pt idx="82">
                  <c:v>4302.9</c:v>
                </c:pt>
                <c:pt idx="83">
                  <c:v>4324.6</c:v>
                </c:pt>
                <c:pt idx="84">
                  <c:v>4368.1</c:v>
                </c:pt>
                <c:pt idx="85">
                  <c:v>4387.9</c:v>
                </c:pt>
                <c:pt idx="86">
                  <c:v>4428</c:v>
                </c:pt>
                <c:pt idx="87">
                  <c:v>4447.4</c:v>
                </c:pt>
                <c:pt idx="88">
                  <c:v>4486</c:v>
                </c:pt>
                <c:pt idx="89">
                  <c:v>4504.5</c:v>
                </c:pt>
                <c:pt idx="90">
                  <c:v>4541</c:v>
                </c:pt>
                <c:pt idx="91">
                  <c:v>4576.7</c:v>
                </c:pt>
                <c:pt idx="92">
                  <c:v>4594.5</c:v>
                </c:pt>
                <c:pt idx="93">
                  <c:v>4628.6</c:v>
                </c:pt>
                <c:pt idx="94">
                  <c:v>4645</c:v>
                </c:pt>
                <c:pt idx="95">
                  <c:v>4677.6</c:v>
                </c:pt>
                <c:pt idx="96">
                  <c:v>4693.7</c:v>
                </c:pt>
                <c:pt idx="97">
                  <c:v>4725.5</c:v>
                </c:pt>
                <c:pt idx="98">
                  <c:v>4756.2</c:v>
                </c:pt>
                <c:pt idx="99">
                  <c:v>4770.6</c:v>
                </c:pt>
                <c:pt idx="100">
                  <c:v>4801.5</c:v>
                </c:pt>
                <c:pt idx="101">
                  <c:v>4816.6</c:v>
                </c:pt>
                <c:pt idx="102">
                  <c:v>4846.1</c:v>
                </c:pt>
                <c:pt idx="103">
                  <c:v>4874.1</c:v>
                </c:pt>
                <c:pt idx="104">
                  <c:v>4888</c:v>
                </c:pt>
                <c:pt idx="105">
                  <c:v>4914.8</c:v>
                </c:pt>
                <c:pt idx="106">
                  <c:v>4941.5</c:v>
                </c:pt>
                <c:pt idx="107">
                  <c:v>4955</c:v>
                </c:pt>
                <c:pt idx="108">
                  <c:v>4980.1</c:v>
                </c:pt>
                <c:pt idx="109">
                  <c:v>5006.3</c:v>
                </c:pt>
                <c:pt idx="110">
                  <c:v>5018.8</c:v>
                </c:pt>
                <c:pt idx="111">
                  <c:v>5043.3</c:v>
                </c:pt>
                <c:pt idx="112">
                  <c:v>5066.7</c:v>
                </c:pt>
                <c:pt idx="113">
                  <c:v>5078.7</c:v>
                </c:pt>
                <c:pt idx="114">
                  <c:v>5101.2</c:v>
                </c:pt>
                <c:pt idx="115">
                  <c:v>5123.4</c:v>
                </c:pt>
                <c:pt idx="116">
                  <c:v>5134.8</c:v>
                </c:pt>
                <c:pt idx="117">
                  <c:v>5156.4</c:v>
                </c:pt>
                <c:pt idx="118">
                  <c:v>5177.8</c:v>
                </c:pt>
                <c:pt idx="119">
                  <c:v>5198.4</c:v>
                </c:pt>
                <c:pt idx="120">
                  <c:v>5208.8</c:v>
                </c:pt>
                <c:pt idx="121">
                  <c:v>5228.8</c:v>
                </c:pt>
                <c:pt idx="122">
                  <c:v>5248</c:v>
                </c:pt>
                <c:pt idx="123">
                  <c:v>5267.8</c:v>
                </c:pt>
                <c:pt idx="124">
                  <c:v>5277.5</c:v>
                </c:pt>
                <c:pt idx="125">
                  <c:v>5297.1</c:v>
                </c:pt>
                <c:pt idx="126">
                  <c:v>5314.9</c:v>
                </c:pt>
                <c:pt idx="127">
                  <c:v>5333.3</c:v>
                </c:pt>
                <c:pt idx="128">
                  <c:v>5351.9</c:v>
                </c:pt>
                <c:pt idx="129">
                  <c:v>5360.5</c:v>
                </c:pt>
                <c:pt idx="130">
                  <c:v>5378.8</c:v>
                </c:pt>
                <c:pt idx="131">
                  <c:v>5395.2</c:v>
                </c:pt>
                <c:pt idx="132">
                  <c:v>5412.7</c:v>
                </c:pt>
                <c:pt idx="133">
                  <c:v>5429.9</c:v>
                </c:pt>
                <c:pt idx="134">
                  <c:v>5437.7</c:v>
                </c:pt>
                <c:pt idx="135">
                  <c:v>5454</c:v>
                </c:pt>
                <c:pt idx="136">
                  <c:v>5471.5</c:v>
                </c:pt>
                <c:pt idx="137">
                  <c:v>5488.5</c:v>
                </c:pt>
                <c:pt idx="138">
                  <c:v>5504.6</c:v>
                </c:pt>
                <c:pt idx="139">
                  <c:v>5520.3</c:v>
                </c:pt>
                <c:pt idx="140">
                  <c:v>5534.5</c:v>
                </c:pt>
                <c:pt idx="141">
                  <c:v>5542.2</c:v>
                </c:pt>
                <c:pt idx="142">
                  <c:v>5556.6</c:v>
                </c:pt>
                <c:pt idx="143">
                  <c:v>5570.5</c:v>
                </c:pt>
                <c:pt idx="144">
                  <c:v>5584.5</c:v>
                </c:pt>
                <c:pt idx="145">
                  <c:v>5598.6</c:v>
                </c:pt>
                <c:pt idx="146">
                  <c:v>5611.7</c:v>
                </c:pt>
                <c:pt idx="147">
                  <c:v>5624.8</c:v>
                </c:pt>
                <c:pt idx="148">
                  <c:v>5631.7</c:v>
                </c:pt>
                <c:pt idx="149">
                  <c:v>5644.4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'Respons Step'!C10</c:f>
              <c:strCache>
                <c:ptCount val="1"/>
                <c:pt idx="0">
                  <c:v>RPM model FOPDT</c:v>
                </c:pt>
              </c:strCache>
            </c:strRef>
          </c:tx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'Respons Step'!$A$11:$A$160</c:f>
              <c:numCache>
                <c:formatCode>0.00</c:formatCode>
                <c:ptCount val="15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</c:v>
                </c:pt>
                <c:pt idx="110">
                  <c:v>1.1</c:v>
                </c:pt>
                <c:pt idx="111">
                  <c:v>1.11</c:v>
                </c:pt>
                <c:pt idx="112">
                  <c:v>1.12</c:v>
                </c:pt>
                <c:pt idx="113">
                  <c:v>1.13</c:v>
                </c:pt>
                <c:pt idx="114">
                  <c:v>1.14</c:v>
                </c:pt>
                <c:pt idx="115">
                  <c:v>1.15</c:v>
                </c:pt>
                <c:pt idx="116">
                  <c:v>1.16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</c:numCache>
            </c:numRef>
          </c:xVal>
          <c:yVal>
            <c:numRef>
              <c:f>'Respons Step'!$C$11:$C$160</c:f>
              <c:numCache>
                <c:formatCode>#,##0</c:formatCode>
                <c:ptCount val="1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47.1512418779368</c:v>
                </c:pt>
                <c:pt idx="11">
                  <c:v>144.867145795698</c:v>
                </c:pt>
                <c:pt idx="12">
                  <c:v>241.06763516456</c:v>
                </c:pt>
                <c:pt idx="13">
                  <c:v>335.776211596474</c:v>
                </c:pt>
                <c:pt idx="14">
                  <c:v>429.016012231653</c:v>
                </c:pt>
                <c:pt idx="15">
                  <c:v>520.809815390946</c:v>
                </c:pt>
                <c:pt idx="16">
                  <c:v>611.18004614054</c:v>
                </c:pt>
                <c:pt idx="17">
                  <c:v>700.148781770358</c:v>
                </c:pt>
                <c:pt idx="18">
                  <c:v>787.737757187508</c:v>
                </c:pt>
                <c:pt idx="19">
                  <c:v>873.968370226085</c:v>
                </c:pt>
                <c:pt idx="20">
                  <c:v>958.861686874618</c:v>
                </c:pt>
                <c:pt idx="21">
                  <c:v>1042.43844642246</c:v>
                </c:pt>
                <c:pt idx="22">
                  <c:v>1124.71906652636</c:v>
                </c:pt>
                <c:pt idx="23">
                  <c:v>1205.72364819845</c:v>
                </c:pt>
                <c:pt idx="24">
                  <c:v>1285.4719807169</c:v>
                </c:pt>
                <c:pt idx="25">
                  <c:v>1363.98354646042</c:v>
                </c:pt>
                <c:pt idx="26">
                  <c:v>1441.27752566771</c:v>
                </c:pt>
                <c:pt idx="27">
                  <c:v>1517.37280112325</c:v>
                </c:pt>
                <c:pt idx="28">
                  <c:v>1592.28796277024</c:v>
                </c:pt>
                <c:pt idx="29">
                  <c:v>1666.04131225216</c:v>
                </c:pt>
                <c:pt idx="30">
                  <c:v>1738.65086738379</c:v>
                </c:pt>
                <c:pt idx="31">
                  <c:v>1810.13436655293</c:v>
                </c:pt>
                <c:pt idx="32">
                  <c:v>1880.50927305391</c:v>
                </c:pt>
                <c:pt idx="33">
                  <c:v>1949.79277935376</c:v>
                </c:pt>
                <c:pt idx="34">
                  <c:v>2018.00181129236</c:v>
                </c:pt>
                <c:pt idx="35">
                  <c:v>2085.15303221739</c:v>
                </c:pt>
                <c:pt idx="36">
                  <c:v>2151.26284705512</c:v>
                </c:pt>
                <c:pt idx="37">
                  <c:v>2216.34740631813</c:v>
                </c:pt>
                <c:pt idx="38">
                  <c:v>2280.42261005086</c:v>
                </c:pt>
                <c:pt idx="39">
                  <c:v>2343.50411171394</c:v>
                </c:pt>
                <c:pt idx="40">
                  <c:v>2405.60732200834</c:v>
                </c:pt>
                <c:pt idx="41">
                  <c:v>2466.74741264012</c:v>
                </c:pt>
                <c:pt idx="42">
                  <c:v>2526.9393200269</c:v>
                </c:pt>
                <c:pt idx="43">
                  <c:v>2586.1977489468</c:v>
                </c:pt>
                <c:pt idx="44">
                  <c:v>2644.53717613074</c:v>
                </c:pt>
                <c:pt idx="45">
                  <c:v>2701.97185379916</c:v>
                </c:pt>
                <c:pt idx="46">
                  <c:v>2758.51581314375</c:v>
                </c:pt>
                <c:pt idx="47">
                  <c:v>2814.18286775524</c:v>
                </c:pt>
                <c:pt idx="48">
                  <c:v>2868.98661699811</c:v>
                </c:pt>
                <c:pt idx="49">
                  <c:v>2922.94044933281</c:v>
                </c:pt>
                <c:pt idx="50">
                  <c:v>2976.05754558658</c:v>
                </c:pt>
                <c:pt idx="51">
                  <c:v>3028.35088217349</c:v>
                </c:pt>
                <c:pt idx="52">
                  <c:v>3079.83323426456</c:v>
                </c:pt>
                <c:pt idx="53">
                  <c:v>3130.51717890871</c:v>
                </c:pt>
                <c:pt idx="54">
                  <c:v>3180.41509810532</c:v>
                </c:pt>
                <c:pt idx="55">
                  <c:v>3229.5391818291</c:v>
                </c:pt>
                <c:pt idx="56">
                  <c:v>3277.90143100813</c:v>
                </c:pt>
                <c:pt idx="57">
                  <c:v>3325.51366045562</c:v>
                </c:pt>
                <c:pt idx="58">
                  <c:v>3372.38750175628</c:v>
                </c:pt>
                <c:pt idx="59">
                  <c:v>3418.53440610787</c:v>
                </c:pt>
                <c:pt idx="60">
                  <c:v>3463.96564711872</c:v>
                </c:pt>
                <c:pt idx="61">
                  <c:v>3508.69232356186</c:v>
                </c:pt>
                <c:pt idx="62">
                  <c:v>3552.72536208641</c:v>
                </c:pt>
                <c:pt idx="63">
                  <c:v>3596.07551988698</c:v>
                </c:pt>
                <c:pt idx="64">
                  <c:v>3638.75338733159</c:v>
                </c:pt>
                <c:pt idx="65">
                  <c:v>3680.7693905489</c:v>
                </c:pt>
                <c:pt idx="66">
                  <c:v>3722.13379397529</c:v>
                </c:pt>
                <c:pt idx="67">
                  <c:v>3762.85670286245</c:v>
                </c:pt>
                <c:pt idx="68">
                  <c:v>3802.94806574608</c:v>
                </c:pt>
                <c:pt idx="69">
                  <c:v>3842.41767687628</c:v>
                </c:pt>
                <c:pt idx="70">
                  <c:v>3881.27517861028</c:v>
                </c:pt>
                <c:pt idx="71">
                  <c:v>3919.53006376806</c:v>
                </c:pt>
                <c:pt idx="72">
                  <c:v>3957.1916779514</c:v>
                </c:pt>
                <c:pt idx="73">
                  <c:v>3994.26922182705</c:v>
                </c:pt>
                <c:pt idx="74">
                  <c:v>4030.77175337437</c:v>
                </c:pt>
                <c:pt idx="75">
                  <c:v>4066.70819009822</c:v>
                </c:pt>
                <c:pt idx="76">
                  <c:v>4102.08731120748</c:v>
                </c:pt>
                <c:pt idx="77">
                  <c:v>4136.9177597598</c:v>
                </c:pt>
                <c:pt idx="78">
                  <c:v>4171.20804477308</c:v>
                </c:pt>
                <c:pt idx="79">
                  <c:v>4204.9665433042</c:v>
                </c:pt>
                <c:pt idx="80">
                  <c:v>4238.20150249555</c:v>
                </c:pt>
                <c:pt idx="81">
                  <c:v>4270.92104158975</c:v>
                </c:pt>
                <c:pt idx="82">
                  <c:v>4303.13315391318</c:v>
                </c:pt>
                <c:pt idx="83">
                  <c:v>4334.84570882878</c:v>
                </c:pt>
                <c:pt idx="84">
                  <c:v>4366.06645365846</c:v>
                </c:pt>
                <c:pt idx="85">
                  <c:v>4396.80301557578</c:v>
                </c:pt>
                <c:pt idx="86">
                  <c:v>4427.06290346927</c:v>
                </c:pt>
                <c:pt idx="87">
                  <c:v>4456.85350977683</c:v>
                </c:pt>
                <c:pt idx="88">
                  <c:v>4486.18211229166</c:v>
                </c:pt>
                <c:pt idx="89">
                  <c:v>4515.05587594028</c:v>
                </c:pt>
                <c:pt idx="90">
                  <c:v>4543.48185453282</c:v>
                </c:pt>
                <c:pt idx="91">
                  <c:v>4571.46699248635</c:v>
                </c:pt>
                <c:pt idx="92">
                  <c:v>4599.01812652129</c:v>
                </c:pt>
                <c:pt idx="93">
                  <c:v>4626.1419873317</c:v>
                </c:pt>
                <c:pt idx="94">
                  <c:v>4652.84520122952</c:v>
                </c:pt>
                <c:pt idx="95">
                  <c:v>4679.13429176337</c:v>
                </c:pt>
                <c:pt idx="96">
                  <c:v>4705.01568131228</c:v>
                </c:pt>
                <c:pt idx="97">
                  <c:v>4730.49569265461</c:v>
                </c:pt>
                <c:pt idx="98">
                  <c:v>4755.58055051275</c:v>
                </c:pt>
                <c:pt idx="99">
                  <c:v>4780.27638307377</c:v>
                </c:pt>
                <c:pt idx="100">
                  <c:v>4804.58922348653</c:v>
                </c:pt>
                <c:pt idx="101">
                  <c:v>4828.52501133559</c:v>
                </c:pt>
                <c:pt idx="102">
                  <c:v>4852.08959409222</c:v>
                </c:pt>
                <c:pt idx="103">
                  <c:v>4875.28872854293</c:v>
                </c:pt>
                <c:pt idx="104">
                  <c:v>4898.12808219585</c:v>
                </c:pt>
                <c:pt idx="105">
                  <c:v>4920.61323466528</c:v>
                </c:pt>
                <c:pt idx="106">
                  <c:v>4942.7496790348</c:v>
                </c:pt>
                <c:pt idx="107">
                  <c:v>4964.5428231992</c:v>
                </c:pt>
                <c:pt idx="108">
                  <c:v>4985.99799118563</c:v>
                </c:pt>
                <c:pt idx="109">
                  <c:v>5007.12042445425</c:v>
                </c:pt>
                <c:pt idx="110">
                  <c:v>5027.91528317871</c:v>
                </c:pt>
                <c:pt idx="111">
                  <c:v>5048.38764750676</c:v>
                </c:pt>
                <c:pt idx="112">
                  <c:v>5068.54251880134</c:v>
                </c:pt>
                <c:pt idx="113">
                  <c:v>5088.38482086239</c:v>
                </c:pt>
                <c:pt idx="114">
                  <c:v>5107.91940112974</c:v>
                </c:pt>
                <c:pt idx="115">
                  <c:v>5127.15103186731</c:v>
                </c:pt>
                <c:pt idx="116">
                  <c:v>5146.08441132899</c:v>
                </c:pt>
                <c:pt idx="117">
                  <c:v>5164.72416490638</c:v>
                </c:pt>
                <c:pt idx="118">
                  <c:v>5183.07484625882</c:v>
                </c:pt>
                <c:pt idx="119">
                  <c:v>5201.14093842579</c:v>
                </c:pt>
                <c:pt idx="120">
                  <c:v>5218.92685492213</c:v>
                </c:pt>
                <c:pt idx="121">
                  <c:v>5236.43694081624</c:v>
                </c:pt>
                <c:pt idx="122">
                  <c:v>5253.67547379162</c:v>
                </c:pt>
                <c:pt idx="123">
                  <c:v>5270.64666519182</c:v>
                </c:pt>
                <c:pt idx="124">
                  <c:v>5287.35466104935</c:v>
                </c:pt>
                <c:pt idx="125">
                  <c:v>5303.80354309847</c:v>
                </c:pt>
                <c:pt idx="126">
                  <c:v>5319.99732977242</c:v>
                </c:pt>
                <c:pt idx="127">
                  <c:v>5335.93997718507</c:v>
                </c:pt>
                <c:pt idx="128">
                  <c:v>5351.6353800974</c:v>
                </c:pt>
                <c:pt idx="129">
                  <c:v>5367.087372869</c:v>
                </c:pt>
                <c:pt idx="130">
                  <c:v>5382.29973039479</c:v>
                </c:pt>
                <c:pt idx="131">
                  <c:v>5397.2761690272</c:v>
                </c:pt>
                <c:pt idx="132">
                  <c:v>5412.02034748409</c:v>
                </c:pt>
                <c:pt idx="133">
                  <c:v>5426.53586774259</c:v>
                </c:pt>
                <c:pt idx="134">
                  <c:v>5440.82627591899</c:v>
                </c:pt>
                <c:pt idx="135">
                  <c:v>5454.89506313511</c:v>
                </c:pt>
                <c:pt idx="136">
                  <c:v>5468.74566637117</c:v>
                </c:pt>
                <c:pt idx="137">
                  <c:v>5482.3814693054</c:v>
                </c:pt>
                <c:pt idx="138">
                  <c:v>5495.80580314071</c:v>
                </c:pt>
                <c:pt idx="139">
                  <c:v>5509.02194741845</c:v>
                </c:pt>
                <c:pt idx="140">
                  <c:v>5522.03313081965</c:v>
                </c:pt>
                <c:pt idx="141">
                  <c:v>5534.84253195375</c:v>
                </c:pt>
                <c:pt idx="142">
                  <c:v>5547.45328013513</c:v>
                </c:pt>
                <c:pt idx="143">
                  <c:v>5559.86845614759</c:v>
                </c:pt>
                <c:pt idx="144">
                  <c:v>5572.09109299701</c:v>
                </c:pt>
                <c:pt idx="145">
                  <c:v>5584.12417665227</c:v>
                </c:pt>
                <c:pt idx="146">
                  <c:v>5595.97064677475</c:v>
                </c:pt>
                <c:pt idx="147">
                  <c:v>5607.63339743646</c:v>
                </c:pt>
                <c:pt idx="148">
                  <c:v>5619.11527782706</c:v>
                </c:pt>
                <c:pt idx="149">
                  <c:v>5630.41909294993</c:v>
                </c:pt>
              </c:numCache>
            </c:numRef>
          </c:yVal>
          <c:smooth val="1"/>
        </c:ser>
        <c:axId val="82119107"/>
        <c:axId val="78927001"/>
      </c:scatterChart>
      <c:valAx>
        <c:axId val="8211910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Waktu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927001"/>
        <c:crosses val="autoZero"/>
        <c:crossBetween val="midCat"/>
      </c:valAx>
      <c:valAx>
        <c:axId val="789270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11910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15</xdr:col>
      <xdr:colOff>364680</xdr:colOff>
      <xdr:row>19</xdr:row>
      <xdr:rowOff>41400</xdr:rowOff>
    </xdr:to>
    <xdr:graphicFrame>
      <xdr:nvGraphicFramePr>
        <xdr:cNvPr id="0" name="Chart 1"/>
        <xdr:cNvGraphicFramePr/>
      </xdr:nvGraphicFramePr>
      <xdr:xfrm>
        <a:off x="413568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15</xdr:col>
      <xdr:colOff>364680</xdr:colOff>
      <xdr:row>20</xdr:row>
      <xdr:rowOff>1440</xdr:rowOff>
    </xdr:to>
    <xdr:graphicFrame>
      <xdr:nvGraphicFramePr>
        <xdr:cNvPr id="1" name="Chart 1"/>
        <xdr:cNvGraphicFramePr/>
      </xdr:nvGraphicFramePr>
      <xdr:xfrm>
        <a:off x="568656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27.75" hidden="false" customHeight="true" outlineLevel="0" collapsed="false">
      <c r="A5" s="4" t="s">
        <v>7</v>
      </c>
      <c r="B5" s="5" t="n">
        <f aca="false">_xlfn.MINIFS('Kurva Statis'!A5:A30,'Kurva Statis'!B5:B30,"&gt;0")</f>
        <v>170</v>
      </c>
      <c r="C5" s="6" t="n">
        <v>40</v>
      </c>
      <c r="D5" s="7" t="n">
        <f aca="false">IF(C5=0,"-",B5/C5)</f>
        <v>4.25</v>
      </c>
      <c r="E5" s="8" t="s">
        <v>8</v>
      </c>
    </row>
    <row r="6" customFormat="false" ht="27.75" hidden="false" customHeight="true" outlineLevel="0" collapsed="false">
      <c r="A6" s="4" t="s">
        <v>9</v>
      </c>
      <c r="B6" s="9" t="n">
        <f aca="false">MAX('Kurva Statis'!B5:B30)</f>
        <v>11880</v>
      </c>
      <c r="C6" s="10" t="n">
        <v>9480</v>
      </c>
      <c r="D6" s="7" t="n">
        <f aca="false">IF(C6=0,"-",B6/C6)</f>
        <v>1.25316455696203</v>
      </c>
      <c r="E6" s="8" t="s">
        <v>10</v>
      </c>
    </row>
    <row r="7" customFormat="false" ht="27.75" hidden="false" customHeight="true" outlineLevel="0" collapsed="false">
      <c r="A7" s="4" t="s">
        <v>11</v>
      </c>
      <c r="B7" s="9" t="n">
        <f aca="false">INDEX('Kurva Statis'!B5:B30,MATCH(200,'Kurva Statis'!A5:A30,0))</f>
        <v>6180</v>
      </c>
      <c r="C7" s="10" t="n">
        <v>7096</v>
      </c>
      <c r="D7" s="7" t="n">
        <f aca="false">IF(C7=0,"-",B7/C7)</f>
        <v>0.870913190529876</v>
      </c>
      <c r="E7" s="8" t="s">
        <v>12</v>
      </c>
    </row>
    <row r="8" customFormat="false" ht="27.75" hidden="false" customHeight="true" outlineLevel="0" collapsed="false">
      <c r="A8" s="4" t="s">
        <v>13</v>
      </c>
      <c r="B8" s="11" t="n">
        <f aca="false">SLOPE('Kurva Statis'!B22:B28,'Kurva Statis'!A22:A28)</f>
        <v>139.607142857143</v>
      </c>
      <c r="C8" s="12" t="n">
        <v>43.1</v>
      </c>
      <c r="D8" s="7" t="n">
        <f aca="false">IF(C8=0,"-",B8/C8)</f>
        <v>3.23914484587338</v>
      </c>
      <c r="E8" s="8" t="s">
        <v>14</v>
      </c>
    </row>
    <row r="9" customFormat="false" ht="27.75" hidden="false" customHeight="true" outlineLevel="0" collapsed="false">
      <c r="A9" s="4" t="s">
        <v>15</v>
      </c>
      <c r="B9" s="13" t="n">
        <f aca="false">'Respons Step'!B5</f>
        <v>0.6398</v>
      </c>
      <c r="C9" s="14" t="n">
        <v>0.2</v>
      </c>
      <c r="D9" s="7" t="n">
        <f aca="false">IF(C9=0,"-",B9/C9)</f>
        <v>3.199</v>
      </c>
      <c r="E9" s="8" t="s">
        <v>16</v>
      </c>
    </row>
    <row r="10" customFormat="false" ht="27.75" hidden="false" customHeight="true" outlineLevel="0" collapsed="false">
      <c r="A10" s="4" t="s">
        <v>17</v>
      </c>
      <c r="B10" s="13" t="n">
        <f aca="false">'Respons Step'!B6</f>
        <v>0.09523</v>
      </c>
      <c r="C10" s="14" t="n">
        <v>0</v>
      </c>
      <c r="D10" s="7" t="str">
        <f aca="false">IF(C10=0,"-",B10/C10)</f>
        <v>-</v>
      </c>
      <c r="E10" s="8" t="s">
        <v>18</v>
      </c>
    </row>
    <row r="11" customFormat="false" ht="27.75" hidden="false" customHeight="true" outlineLevel="0" collapsed="false">
      <c r="A11" s="4" t="s">
        <v>19</v>
      </c>
      <c r="B11" s="6" t="n">
        <v>95</v>
      </c>
      <c r="C11" s="15" t="s">
        <v>20</v>
      </c>
      <c r="D11" s="15" t="s">
        <v>20</v>
      </c>
      <c r="E11" s="8" t="s">
        <v>21</v>
      </c>
    </row>
    <row r="13" customFormat="false" ht="15" hidden="false" customHeight="false" outlineLevel="0" collapsed="false">
      <c r="A13" s="16" t="s">
        <v>22</v>
      </c>
    </row>
    <row r="14" customFormat="false" ht="30" hidden="false" customHeight="true" outlineLevel="0" collapsed="false">
      <c r="A14" s="17" t="s">
        <v>23</v>
      </c>
      <c r="B14" s="17"/>
      <c r="C14" s="17"/>
      <c r="D14" s="17"/>
      <c r="E14" s="17"/>
    </row>
    <row r="15" customFormat="false" ht="30" hidden="false" customHeight="true" outlineLevel="0" collapsed="false">
      <c r="A15" s="17" t="s">
        <v>24</v>
      </c>
      <c r="B15" s="17"/>
      <c r="C15" s="17"/>
      <c r="D15" s="17"/>
      <c r="E15" s="17"/>
    </row>
    <row r="16" customFormat="false" ht="30" hidden="false" customHeight="true" outlineLevel="0" collapsed="false">
      <c r="A16" s="17" t="s">
        <v>25</v>
      </c>
      <c r="B16" s="17"/>
      <c r="C16" s="17"/>
      <c r="D16" s="17"/>
      <c r="E16" s="17"/>
    </row>
    <row r="17" customFormat="false" ht="30" hidden="false" customHeight="true" outlineLevel="0" collapsed="false">
      <c r="A17" s="17" t="s">
        <v>26</v>
      </c>
      <c r="B17" s="17"/>
      <c r="C17" s="17"/>
      <c r="D17" s="17"/>
      <c r="E17" s="17"/>
    </row>
    <row r="19" customFormat="false" ht="15" hidden="false" customHeight="false" outlineLevel="0" collapsed="false">
      <c r="A19" s="2" t="s">
        <v>27</v>
      </c>
    </row>
  </sheetData>
  <mergeCells count="4">
    <mergeCell ref="A14:E14"/>
    <mergeCell ref="A15:E15"/>
    <mergeCell ref="A16:E16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6" t="s">
        <v>28</v>
      </c>
    </row>
    <row r="2" customFormat="false" ht="15" hidden="false" customHeight="false" outlineLevel="0" collapsed="false">
      <c r="A2" s="2" t="s">
        <v>29</v>
      </c>
    </row>
    <row r="4" customFormat="false" ht="26.85" hidden="false" customHeight="false" outlineLevel="0" collapsed="false">
      <c r="A4" s="3" t="s">
        <v>30</v>
      </c>
      <c r="B4" s="3" t="s">
        <v>31</v>
      </c>
      <c r="C4" s="3" t="s">
        <v>32</v>
      </c>
      <c r="D4" s="3" t="s">
        <v>33</v>
      </c>
    </row>
    <row r="5" customFormat="false" ht="15" hidden="false" customHeight="false" outlineLevel="0" collapsed="false">
      <c r="A5" s="18" t="n">
        <v>0</v>
      </c>
      <c r="B5" s="19" t="n">
        <v>0</v>
      </c>
      <c r="C5" s="20"/>
      <c r="D5" s="21" t="str">
        <f aca="false">IF(B5=0,"diam",IF(B5&gt;=0.985*MAX($B$5:$B$30),"jenuh","berputar"))</f>
        <v>diam</v>
      </c>
    </row>
    <row r="6" customFormat="false" ht="15" hidden="false" customHeight="false" outlineLevel="0" collapsed="false">
      <c r="A6" s="18" t="n">
        <v>10</v>
      </c>
      <c r="B6" s="19" t="n">
        <v>0</v>
      </c>
      <c r="C6" s="22" t="n">
        <f aca="false">(B6-B5)/(A6-A5)</f>
        <v>0</v>
      </c>
      <c r="D6" s="21" t="str">
        <f aca="false">IF(B6=0,"diam",IF(B6&gt;=0.985*MAX($B$5:$B$30),"jenuh","berputar"))</f>
        <v>diam</v>
      </c>
    </row>
    <row r="7" customFormat="false" ht="15" hidden="false" customHeight="false" outlineLevel="0" collapsed="false">
      <c r="A7" s="18" t="n">
        <v>20</v>
      </c>
      <c r="B7" s="19" t="n">
        <v>0</v>
      </c>
      <c r="C7" s="22" t="n">
        <f aca="false">(B7-B6)/(A7-A6)</f>
        <v>0</v>
      </c>
      <c r="D7" s="21" t="str">
        <f aca="false">IF(B7=0,"diam",IF(B7&gt;=0.985*MAX($B$5:$B$30),"jenuh","berputar"))</f>
        <v>diam</v>
      </c>
    </row>
    <row r="8" customFormat="false" ht="15" hidden="false" customHeight="false" outlineLevel="0" collapsed="false">
      <c r="A8" s="18" t="n">
        <v>30</v>
      </c>
      <c r="B8" s="19" t="n">
        <v>0</v>
      </c>
      <c r="C8" s="22" t="n">
        <f aca="false">(B8-B7)/(A8-A7)</f>
        <v>0</v>
      </c>
      <c r="D8" s="21" t="str">
        <f aca="false">IF(B8=0,"diam",IF(B8&gt;=0.985*MAX($B$5:$B$30),"jenuh","berputar"))</f>
        <v>diam</v>
      </c>
    </row>
    <row r="9" customFormat="false" ht="15" hidden="false" customHeight="false" outlineLevel="0" collapsed="false">
      <c r="A9" s="18" t="n">
        <v>40</v>
      </c>
      <c r="B9" s="19" t="n">
        <v>0</v>
      </c>
      <c r="C9" s="22" t="n">
        <f aca="false">(B9-B8)/(A9-A8)</f>
        <v>0</v>
      </c>
      <c r="D9" s="21" t="str">
        <f aca="false">IF(B9=0,"diam",IF(B9&gt;=0.985*MAX($B$5:$B$30),"jenuh","berputar"))</f>
        <v>diam</v>
      </c>
    </row>
    <row r="10" customFormat="false" ht="15" hidden="false" customHeight="false" outlineLevel="0" collapsed="false">
      <c r="A10" s="18" t="n">
        <v>50</v>
      </c>
      <c r="B10" s="19" t="n">
        <v>0</v>
      </c>
      <c r="C10" s="22" t="n">
        <f aca="false">(B10-B9)/(A10-A9)</f>
        <v>0</v>
      </c>
      <c r="D10" s="21" t="str">
        <f aca="false">IF(B10=0,"diam",IF(B10&gt;=0.985*MAX($B$5:$B$30),"jenuh","berputar"))</f>
        <v>diam</v>
      </c>
    </row>
    <row r="11" customFormat="false" ht="15" hidden="false" customHeight="false" outlineLevel="0" collapsed="false">
      <c r="A11" s="18" t="n">
        <v>60</v>
      </c>
      <c r="B11" s="19" t="n">
        <v>0</v>
      </c>
      <c r="C11" s="22" t="n">
        <f aca="false">(B11-B10)/(A11-A10)</f>
        <v>0</v>
      </c>
      <c r="D11" s="21" t="str">
        <f aca="false">IF(B11=0,"diam",IF(B11&gt;=0.985*MAX($B$5:$B$30),"jenuh","berputar"))</f>
        <v>diam</v>
      </c>
    </row>
    <row r="12" customFormat="false" ht="15" hidden="false" customHeight="false" outlineLevel="0" collapsed="false">
      <c r="A12" s="18" t="n">
        <v>70</v>
      </c>
      <c r="B12" s="19" t="n">
        <v>0</v>
      </c>
      <c r="C12" s="22" t="n">
        <f aca="false">(B12-B11)/(A12-A11)</f>
        <v>0</v>
      </c>
      <c r="D12" s="21" t="str">
        <f aca="false">IF(B12=0,"diam",IF(B12&gt;=0.985*MAX($B$5:$B$30),"jenuh","berputar"))</f>
        <v>diam</v>
      </c>
    </row>
    <row r="13" customFormat="false" ht="15" hidden="false" customHeight="false" outlineLevel="0" collapsed="false">
      <c r="A13" s="18" t="n">
        <v>80</v>
      </c>
      <c r="B13" s="19" t="n">
        <v>0</v>
      </c>
      <c r="C13" s="22" t="n">
        <f aca="false">(B13-B12)/(A13-A12)</f>
        <v>0</v>
      </c>
      <c r="D13" s="21" t="str">
        <f aca="false">IF(B13=0,"diam",IF(B13&gt;=0.985*MAX($B$5:$B$30),"jenuh","berputar"))</f>
        <v>diam</v>
      </c>
    </row>
    <row r="14" customFormat="false" ht="15" hidden="false" customHeight="false" outlineLevel="0" collapsed="false">
      <c r="A14" s="18" t="n">
        <v>90</v>
      </c>
      <c r="B14" s="19" t="n">
        <v>0</v>
      </c>
      <c r="C14" s="22" t="n">
        <f aca="false">(B14-B13)/(A14-A13)</f>
        <v>0</v>
      </c>
      <c r="D14" s="21" t="str">
        <f aca="false">IF(B14=0,"diam",IF(B14&gt;=0.985*MAX($B$5:$B$30),"jenuh","berputar"))</f>
        <v>diam</v>
      </c>
    </row>
    <row r="15" customFormat="false" ht="15" hidden="false" customHeight="false" outlineLevel="0" collapsed="false">
      <c r="A15" s="18" t="n">
        <v>100</v>
      </c>
      <c r="B15" s="19" t="n">
        <v>0</v>
      </c>
      <c r="C15" s="22" t="n">
        <f aca="false">(B15-B14)/(A15-A14)</f>
        <v>0</v>
      </c>
      <c r="D15" s="21" t="str">
        <f aca="false">IF(B15=0,"diam",IF(B15&gt;=0.985*MAX($B$5:$B$30),"jenuh","berputar"))</f>
        <v>diam</v>
      </c>
    </row>
    <row r="16" customFormat="false" ht="15" hidden="false" customHeight="false" outlineLevel="0" collapsed="false">
      <c r="A16" s="18" t="n">
        <v>110</v>
      </c>
      <c r="B16" s="19" t="n">
        <v>0</v>
      </c>
      <c r="C16" s="22" t="n">
        <f aca="false">(B16-B15)/(A16-A15)</f>
        <v>0</v>
      </c>
      <c r="D16" s="21" t="str">
        <f aca="false">IF(B16=0,"diam",IF(B16&gt;=0.985*MAX($B$5:$B$30),"jenuh","berputar"))</f>
        <v>diam</v>
      </c>
    </row>
    <row r="17" customFormat="false" ht="15" hidden="false" customHeight="false" outlineLevel="0" collapsed="false">
      <c r="A17" s="18" t="n">
        <v>120</v>
      </c>
      <c r="B17" s="19" t="n">
        <v>0</v>
      </c>
      <c r="C17" s="22" t="n">
        <f aca="false">(B17-B16)/(A17-A16)</f>
        <v>0</v>
      </c>
      <c r="D17" s="21" t="str">
        <f aca="false">IF(B17=0,"diam",IF(B17&gt;=0.985*MAX($B$5:$B$30),"jenuh","berputar"))</f>
        <v>diam</v>
      </c>
    </row>
    <row r="18" customFormat="false" ht="15" hidden="false" customHeight="false" outlineLevel="0" collapsed="false">
      <c r="A18" s="18" t="n">
        <v>130</v>
      </c>
      <c r="B18" s="19" t="n">
        <v>0</v>
      </c>
      <c r="C18" s="22" t="n">
        <f aca="false">(B18-B17)/(A18-A17)</f>
        <v>0</v>
      </c>
      <c r="D18" s="21" t="str">
        <f aca="false">IF(B18=0,"diam",IF(B18&gt;=0.985*MAX($B$5:$B$30),"jenuh","berputar"))</f>
        <v>diam</v>
      </c>
    </row>
    <row r="19" customFormat="false" ht="15" hidden="false" customHeight="false" outlineLevel="0" collapsed="false">
      <c r="A19" s="18" t="n">
        <v>140</v>
      </c>
      <c r="B19" s="19" t="n">
        <v>0</v>
      </c>
      <c r="C19" s="22" t="n">
        <f aca="false">(B19-B18)/(A19-A18)</f>
        <v>0</v>
      </c>
      <c r="D19" s="21" t="str">
        <f aca="false">IF(B19=0,"diam",IF(B19&gt;=0.985*MAX($B$5:$B$30),"jenuh","berputar"))</f>
        <v>diam</v>
      </c>
    </row>
    <row r="20" customFormat="false" ht="15" hidden="false" customHeight="false" outlineLevel="0" collapsed="false">
      <c r="A20" s="18" t="n">
        <v>150</v>
      </c>
      <c r="B20" s="19" t="n">
        <v>0</v>
      </c>
      <c r="C20" s="22" t="n">
        <f aca="false">(B20-B19)/(A20-A19)</f>
        <v>0</v>
      </c>
      <c r="D20" s="21" t="str">
        <f aca="false">IF(B20=0,"diam",IF(B20&gt;=0.985*MAX($B$5:$B$30),"jenuh","berputar"))</f>
        <v>diam</v>
      </c>
    </row>
    <row r="21" customFormat="false" ht="15" hidden="false" customHeight="false" outlineLevel="0" collapsed="false">
      <c r="A21" s="18" t="n">
        <v>160</v>
      </c>
      <c r="B21" s="19" t="n">
        <v>0</v>
      </c>
      <c r="C21" s="22" t="n">
        <f aca="false">(B21-B20)/(A21-A20)</f>
        <v>0</v>
      </c>
      <c r="D21" s="21" t="str">
        <f aca="false">IF(B21=0,"diam",IF(B21&gt;=0.985*MAX($B$5:$B$30),"jenuh","berputar"))</f>
        <v>diam</v>
      </c>
    </row>
    <row r="22" customFormat="false" ht="15" hidden="false" customHeight="false" outlineLevel="0" collapsed="false">
      <c r="A22" s="18" t="n">
        <v>170</v>
      </c>
      <c r="B22" s="19" t="n">
        <v>3300</v>
      </c>
      <c r="C22" s="22" t="n">
        <f aca="false">(B22-B21)/(A22-A21)</f>
        <v>330</v>
      </c>
      <c r="D22" s="21" t="str">
        <f aca="false">IF(B22=0,"diam",IF(B22&gt;=0.985*MAX($B$5:$B$30),"jenuh","berputar"))</f>
        <v>berputar</v>
      </c>
    </row>
    <row r="23" customFormat="false" ht="15" hidden="false" customHeight="false" outlineLevel="0" collapsed="false">
      <c r="A23" s="18" t="n">
        <v>180</v>
      </c>
      <c r="B23" s="19" t="n">
        <v>4140</v>
      </c>
      <c r="C23" s="22" t="n">
        <f aca="false">(B23-B22)/(A23-A22)</f>
        <v>84</v>
      </c>
      <c r="D23" s="21" t="str">
        <f aca="false">IF(B23=0,"diam",IF(B23&gt;=0.985*MAX($B$5:$B$30),"jenuh","berputar"))</f>
        <v>berputar</v>
      </c>
    </row>
    <row r="24" customFormat="false" ht="15" hidden="false" customHeight="false" outlineLevel="0" collapsed="false">
      <c r="A24" s="18" t="n">
        <v>190</v>
      </c>
      <c r="B24" s="19" t="n">
        <v>5070</v>
      </c>
      <c r="C24" s="22" t="n">
        <f aca="false">(B24-B23)/(A24-A23)</f>
        <v>93</v>
      </c>
      <c r="D24" s="21" t="str">
        <f aca="false">IF(B24=0,"diam",IF(B24&gt;=0.985*MAX($B$5:$B$30),"jenuh","berputar"))</f>
        <v>berputar</v>
      </c>
    </row>
    <row r="25" customFormat="false" ht="15" hidden="false" customHeight="false" outlineLevel="0" collapsed="false">
      <c r="A25" s="18" t="n">
        <v>200</v>
      </c>
      <c r="B25" s="19" t="n">
        <v>6180</v>
      </c>
      <c r="C25" s="22" t="n">
        <f aca="false">(B25-B24)/(A25-A24)</f>
        <v>111</v>
      </c>
      <c r="D25" s="21" t="str">
        <f aca="false">IF(B25=0,"diam",IF(B25&gt;=0.985*MAX($B$5:$B$30),"jenuh","berputar"))</f>
        <v>berputar</v>
      </c>
    </row>
    <row r="26" customFormat="false" ht="15" hidden="false" customHeight="false" outlineLevel="0" collapsed="false">
      <c r="A26" s="18" t="n">
        <v>210</v>
      </c>
      <c r="B26" s="19" t="n">
        <v>7650</v>
      </c>
      <c r="C26" s="22" t="n">
        <f aca="false">(B26-B25)/(A26-A25)</f>
        <v>147</v>
      </c>
      <c r="D26" s="21" t="str">
        <f aca="false">IF(B26=0,"diam",IF(B26&gt;=0.985*MAX($B$5:$B$30),"jenuh","berputar"))</f>
        <v>berputar</v>
      </c>
    </row>
    <row r="27" customFormat="false" ht="15" hidden="false" customHeight="false" outlineLevel="0" collapsed="false">
      <c r="A27" s="18" t="n">
        <v>220</v>
      </c>
      <c r="B27" s="19" t="n">
        <v>9660</v>
      </c>
      <c r="C27" s="22" t="n">
        <f aca="false">(B27-B26)/(A27-A26)</f>
        <v>201</v>
      </c>
      <c r="D27" s="21" t="str">
        <f aca="false">IF(B27=0,"diam",IF(B27&gt;=0.985*MAX($B$5:$B$30),"jenuh","berputar"))</f>
        <v>berputar</v>
      </c>
    </row>
    <row r="28" customFormat="false" ht="15" hidden="false" customHeight="false" outlineLevel="0" collapsed="false">
      <c r="A28" s="18" t="n">
        <v>230</v>
      </c>
      <c r="B28" s="19" t="n">
        <v>11790</v>
      </c>
      <c r="C28" s="22" t="n">
        <f aca="false">(B28-B27)/(A28-A27)</f>
        <v>213</v>
      </c>
      <c r="D28" s="21" t="str">
        <f aca="false">IF(B28=0,"diam",IF(B28&gt;=0.985*MAX($B$5:$B$30),"jenuh","berputar"))</f>
        <v>jenuh</v>
      </c>
    </row>
    <row r="29" customFormat="false" ht="15" hidden="false" customHeight="false" outlineLevel="0" collapsed="false">
      <c r="A29" s="18" t="n">
        <v>240</v>
      </c>
      <c r="B29" s="19" t="n">
        <v>11880</v>
      </c>
      <c r="C29" s="22" t="n">
        <f aca="false">(B29-B28)/(A29-A28)</f>
        <v>9</v>
      </c>
      <c r="D29" s="21" t="str">
        <f aca="false">IF(B29=0,"diam",IF(B29&gt;=0.985*MAX($B$5:$B$30),"jenuh","berputar"))</f>
        <v>jenuh</v>
      </c>
    </row>
    <row r="30" customFormat="false" ht="15" hidden="false" customHeight="false" outlineLevel="0" collapsed="false">
      <c r="A30" s="18" t="n">
        <v>250</v>
      </c>
      <c r="B30" s="19" t="n">
        <v>11880</v>
      </c>
      <c r="C30" s="22" t="n">
        <f aca="false">(B30-B29)/(A30-A29)</f>
        <v>0</v>
      </c>
      <c r="D30" s="21" t="str">
        <f aca="false">IF(B30=0,"diam",IF(B30&gt;=0.985*MAX($B$5:$B$30),"jenuh","berputar"))</f>
        <v>jenuh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6" t="s">
        <v>34</v>
      </c>
    </row>
    <row r="2" customFormat="false" ht="15" hidden="false" customHeight="false" outlineLevel="0" collapsed="false">
      <c r="A2" s="2" t="s">
        <v>35</v>
      </c>
    </row>
    <row r="4" customFormat="false" ht="15" hidden="false" customHeight="false" outlineLevel="0" collapsed="false">
      <c r="A4" s="23" t="s">
        <v>36</v>
      </c>
      <c r="B4" s="24" t="n">
        <v>6348</v>
      </c>
    </row>
    <row r="5" customFormat="false" ht="15" hidden="false" customHeight="false" outlineLevel="0" collapsed="false">
      <c r="A5" s="23" t="s">
        <v>37</v>
      </c>
      <c r="B5" s="25" t="n">
        <v>0.6398</v>
      </c>
    </row>
    <row r="6" customFormat="false" ht="15" hidden="false" customHeight="false" outlineLevel="0" collapsed="false">
      <c r="A6" s="23" t="s">
        <v>38</v>
      </c>
      <c r="B6" s="25" t="n">
        <v>0.09523</v>
      </c>
    </row>
    <row r="8" customFormat="false" ht="15" hidden="false" customHeight="false" outlineLevel="0" collapsed="false">
      <c r="A8" s="23" t="s">
        <v>39</v>
      </c>
      <c r="B8" s="26" t="n">
        <f aca="false">SQRT(SUMPRODUCT((B11:B160&gt;0)*(D11:D160)^2)/COUNTIF(B11:B160,"&gt;0"))</f>
        <v>15.1386720921016</v>
      </c>
    </row>
    <row r="10" customFormat="false" ht="15" hidden="false" customHeight="false" outlineLevel="0" collapsed="false">
      <c r="A10" s="27" t="s">
        <v>40</v>
      </c>
      <c r="B10" s="27" t="s">
        <v>31</v>
      </c>
      <c r="C10" s="27" t="s">
        <v>41</v>
      </c>
      <c r="D10" s="27" t="s">
        <v>42</v>
      </c>
    </row>
    <row r="11" customFormat="false" ht="15" hidden="false" customHeight="false" outlineLevel="0" collapsed="false">
      <c r="A11" s="28" t="n">
        <v>0</v>
      </c>
      <c r="B11" s="29" t="n">
        <v>0</v>
      </c>
      <c r="C11" s="30" t="n">
        <f aca="false">IF(A11&gt;$B$6,$B$4*(1-EXP(-(A11-$B$6)/$B$5)),0)</f>
        <v>0</v>
      </c>
      <c r="D11" s="30" t="n">
        <f aca="false">B11-C11</f>
        <v>0</v>
      </c>
    </row>
    <row r="12" customFormat="false" ht="15" hidden="false" customHeight="false" outlineLevel="0" collapsed="false">
      <c r="A12" s="28" t="n">
        <v>0.01</v>
      </c>
      <c r="B12" s="29" t="n">
        <v>0</v>
      </c>
      <c r="C12" s="30" t="n">
        <f aca="false">IF(A12&gt;$B$6,$B$4*(1-EXP(-(A12-$B$6)/$B$5)),0)</f>
        <v>0</v>
      </c>
      <c r="D12" s="30" t="n">
        <f aca="false">B12-C12</f>
        <v>0</v>
      </c>
    </row>
    <row r="13" customFormat="false" ht="15" hidden="false" customHeight="false" outlineLevel="0" collapsed="false">
      <c r="A13" s="28" t="n">
        <v>0.02</v>
      </c>
      <c r="B13" s="29" t="n">
        <v>0</v>
      </c>
      <c r="C13" s="30" t="n">
        <f aca="false">IF(A13&gt;$B$6,$B$4*(1-EXP(-(A13-$B$6)/$B$5)),0)</f>
        <v>0</v>
      </c>
      <c r="D13" s="30" t="n">
        <f aca="false">B13-C13</f>
        <v>0</v>
      </c>
    </row>
    <row r="14" customFormat="false" ht="15" hidden="false" customHeight="false" outlineLevel="0" collapsed="false">
      <c r="A14" s="28" t="n">
        <v>0.03</v>
      </c>
      <c r="B14" s="29" t="n">
        <v>0</v>
      </c>
      <c r="C14" s="30" t="n">
        <f aca="false">IF(A14&gt;$B$6,$B$4*(1-EXP(-(A14-$B$6)/$B$5)),0)</f>
        <v>0</v>
      </c>
      <c r="D14" s="30" t="n">
        <f aca="false">B14-C14</f>
        <v>0</v>
      </c>
    </row>
    <row r="15" customFormat="false" ht="15" hidden="false" customHeight="false" outlineLevel="0" collapsed="false">
      <c r="A15" s="28" t="n">
        <v>0.04</v>
      </c>
      <c r="B15" s="29" t="n">
        <v>0</v>
      </c>
      <c r="C15" s="30" t="n">
        <f aca="false">IF(A15&gt;$B$6,$B$4*(1-EXP(-(A15-$B$6)/$B$5)),0)</f>
        <v>0</v>
      </c>
      <c r="D15" s="30" t="n">
        <f aca="false">B15-C15</f>
        <v>0</v>
      </c>
    </row>
    <row r="16" customFormat="false" ht="15" hidden="false" customHeight="false" outlineLevel="0" collapsed="false">
      <c r="A16" s="28" t="n">
        <v>0.05</v>
      </c>
      <c r="B16" s="29" t="n">
        <v>0</v>
      </c>
      <c r="C16" s="30" t="n">
        <f aca="false">IF(A16&gt;$B$6,$B$4*(1-EXP(-(A16-$B$6)/$B$5)),0)</f>
        <v>0</v>
      </c>
      <c r="D16" s="30" t="n">
        <f aca="false">B16-C16</f>
        <v>0</v>
      </c>
    </row>
    <row r="17" customFormat="false" ht="15" hidden="false" customHeight="false" outlineLevel="0" collapsed="false">
      <c r="A17" s="28" t="n">
        <v>0.06</v>
      </c>
      <c r="B17" s="29" t="n">
        <v>0</v>
      </c>
      <c r="C17" s="30" t="n">
        <f aca="false">IF(A17&gt;$B$6,$B$4*(1-EXP(-(A17-$B$6)/$B$5)),0)</f>
        <v>0</v>
      </c>
      <c r="D17" s="30" t="n">
        <f aca="false">B17-C17</f>
        <v>0</v>
      </c>
    </row>
    <row r="18" customFormat="false" ht="15" hidden="false" customHeight="false" outlineLevel="0" collapsed="false">
      <c r="A18" s="28" t="n">
        <v>0.07</v>
      </c>
      <c r="B18" s="29" t="n">
        <v>0</v>
      </c>
      <c r="C18" s="30" t="n">
        <f aca="false">IF(A18&gt;$B$6,$B$4*(1-EXP(-(A18-$B$6)/$B$5)),0)</f>
        <v>0</v>
      </c>
      <c r="D18" s="30" t="n">
        <f aca="false">B18-C18</f>
        <v>0</v>
      </c>
    </row>
    <row r="19" customFormat="false" ht="15" hidden="false" customHeight="false" outlineLevel="0" collapsed="false">
      <c r="A19" s="28" t="n">
        <v>0.08</v>
      </c>
      <c r="B19" s="29" t="n">
        <v>0</v>
      </c>
      <c r="C19" s="30" t="n">
        <f aca="false">IF(A19&gt;$B$6,$B$4*(1-EXP(-(A19-$B$6)/$B$5)),0)</f>
        <v>0</v>
      </c>
      <c r="D19" s="30" t="n">
        <f aca="false">B19-C19</f>
        <v>0</v>
      </c>
    </row>
    <row r="20" customFormat="false" ht="15" hidden="false" customHeight="false" outlineLevel="0" collapsed="false">
      <c r="A20" s="28" t="n">
        <v>0.09</v>
      </c>
      <c r="B20" s="29" t="n">
        <v>0</v>
      </c>
      <c r="C20" s="30" t="n">
        <f aca="false">IF(A20&gt;$B$6,$B$4*(1-EXP(-(A20-$B$6)/$B$5)),0)</f>
        <v>0</v>
      </c>
      <c r="D20" s="30" t="n">
        <f aca="false">B20-C20</f>
        <v>0</v>
      </c>
    </row>
    <row r="21" customFormat="false" ht="15" hidden="false" customHeight="false" outlineLevel="0" collapsed="false">
      <c r="A21" s="28" t="n">
        <v>0.1</v>
      </c>
      <c r="B21" s="29" t="n">
        <v>0</v>
      </c>
      <c r="C21" s="30" t="n">
        <f aca="false">IF(A21&gt;$B$6,$B$4*(1-EXP(-(A21-$B$6)/$B$5)),0)</f>
        <v>47.1512418779368</v>
      </c>
      <c r="D21" s="30" t="n">
        <f aca="false">B21-C21</f>
        <v>-47.1512418779368</v>
      </c>
    </row>
    <row r="22" customFormat="false" ht="15" hidden="false" customHeight="false" outlineLevel="0" collapsed="false">
      <c r="A22" s="28" t="n">
        <v>0.11</v>
      </c>
      <c r="B22" s="29" t="n">
        <v>0</v>
      </c>
      <c r="C22" s="30" t="n">
        <f aca="false">IF(A22&gt;$B$6,$B$4*(1-EXP(-(A22-$B$6)/$B$5)),0)</f>
        <v>144.867145795698</v>
      </c>
      <c r="D22" s="30" t="n">
        <f aca="false">B22-C22</f>
        <v>-144.867145795698</v>
      </c>
    </row>
    <row r="23" customFormat="false" ht="15" hidden="false" customHeight="false" outlineLevel="0" collapsed="false">
      <c r="A23" s="28" t="n">
        <v>0.12</v>
      </c>
      <c r="B23" s="29" t="n">
        <v>0</v>
      </c>
      <c r="C23" s="30" t="n">
        <f aca="false">IF(A23&gt;$B$6,$B$4*(1-EXP(-(A23-$B$6)/$B$5)),0)</f>
        <v>241.06763516456</v>
      </c>
      <c r="D23" s="30" t="n">
        <f aca="false">B23-C23</f>
        <v>-241.06763516456</v>
      </c>
    </row>
    <row r="24" customFormat="false" ht="15" hidden="false" customHeight="false" outlineLevel="0" collapsed="false">
      <c r="A24" s="28" t="n">
        <v>0.13</v>
      </c>
      <c r="B24" s="29" t="n">
        <v>0</v>
      </c>
      <c r="C24" s="30" t="n">
        <f aca="false">IF(A24&gt;$B$6,$B$4*(1-EXP(-(A24-$B$6)/$B$5)),0)</f>
        <v>335.776211596474</v>
      </c>
      <c r="D24" s="30" t="n">
        <f aca="false">B24-C24</f>
        <v>-335.776211596474</v>
      </c>
    </row>
    <row r="25" customFormat="false" ht="15" hidden="false" customHeight="false" outlineLevel="0" collapsed="false">
      <c r="A25" s="28" t="n">
        <v>0.14</v>
      </c>
      <c r="B25" s="29" t="n">
        <v>0</v>
      </c>
      <c r="C25" s="30" t="n">
        <f aca="false">IF(A25&gt;$B$6,$B$4*(1-EXP(-(A25-$B$6)/$B$5)),0)</f>
        <v>429.016012231653</v>
      </c>
      <c r="D25" s="30" t="n">
        <f aca="false">B25-C25</f>
        <v>-429.016012231653</v>
      </c>
    </row>
    <row r="26" customFormat="false" ht="15" hidden="false" customHeight="false" outlineLevel="0" collapsed="false">
      <c r="A26" s="28" t="n">
        <v>0.15</v>
      </c>
      <c r="B26" s="29" t="n">
        <v>0</v>
      </c>
      <c r="C26" s="30" t="n">
        <f aca="false">IF(A26&gt;$B$6,$B$4*(1-EXP(-(A26-$B$6)/$B$5)),0)</f>
        <v>520.809815390946</v>
      </c>
      <c r="D26" s="30" t="n">
        <f aca="false">B26-C26</f>
        <v>-520.809815390946</v>
      </c>
    </row>
    <row r="27" customFormat="false" ht="15" hidden="false" customHeight="false" outlineLevel="0" collapsed="false">
      <c r="A27" s="28" t="n">
        <v>0.16</v>
      </c>
      <c r="B27" s="29" t="n">
        <v>0</v>
      </c>
      <c r="C27" s="30" t="n">
        <f aca="false">IF(A27&gt;$B$6,$B$4*(1-EXP(-(A27-$B$6)/$B$5)),0)</f>
        <v>611.18004614054</v>
      </c>
      <c r="D27" s="30" t="n">
        <f aca="false">B27-C27</f>
        <v>-611.18004614054</v>
      </c>
    </row>
    <row r="28" customFormat="false" ht="15" hidden="false" customHeight="false" outlineLevel="0" collapsed="false">
      <c r="A28" s="28" t="n">
        <v>0.17</v>
      </c>
      <c r="B28" s="29" t="n">
        <v>0</v>
      </c>
      <c r="C28" s="30" t="n">
        <f aca="false">IF(A28&gt;$B$6,$B$4*(1-EXP(-(A28-$B$6)/$B$5)),0)</f>
        <v>700.148781770358</v>
      </c>
      <c r="D28" s="30" t="n">
        <f aca="false">B28-C28</f>
        <v>-700.148781770358</v>
      </c>
    </row>
    <row r="29" customFormat="false" ht="15" hidden="false" customHeight="false" outlineLevel="0" collapsed="false">
      <c r="A29" s="28" t="n">
        <v>0.18</v>
      </c>
      <c r="B29" s="29" t="n">
        <v>0</v>
      </c>
      <c r="C29" s="30" t="n">
        <f aca="false">IF(A29&gt;$B$6,$B$4*(1-EXP(-(A29-$B$6)/$B$5)),0)</f>
        <v>787.737757187508</v>
      </c>
      <c r="D29" s="30" t="n">
        <f aca="false">B29-C29</f>
        <v>-787.737757187508</v>
      </c>
    </row>
    <row r="30" customFormat="false" ht="15" hidden="false" customHeight="false" outlineLevel="0" collapsed="false">
      <c r="A30" s="28" t="n">
        <v>0.19</v>
      </c>
      <c r="B30" s="29" t="n">
        <v>0</v>
      </c>
      <c r="C30" s="30" t="n">
        <f aca="false">IF(A30&gt;$B$6,$B$4*(1-EXP(-(A30-$B$6)/$B$5)),0)</f>
        <v>873.968370226085</v>
      </c>
      <c r="D30" s="30" t="n">
        <f aca="false">B30-C30</f>
        <v>-873.968370226085</v>
      </c>
    </row>
    <row r="31" customFormat="false" ht="15" hidden="false" customHeight="false" outlineLevel="0" collapsed="false">
      <c r="A31" s="28" t="n">
        <v>0.2</v>
      </c>
      <c r="B31" s="29" t="n">
        <v>0</v>
      </c>
      <c r="C31" s="30" t="n">
        <f aca="false">IF(A31&gt;$B$6,$B$4*(1-EXP(-(A31-$B$6)/$B$5)),0)</f>
        <v>958.861686874618</v>
      </c>
      <c r="D31" s="30" t="n">
        <f aca="false">B31-C31</f>
        <v>-958.861686874618</v>
      </c>
    </row>
    <row r="32" customFormat="false" ht="15" hidden="false" customHeight="false" outlineLevel="0" collapsed="false">
      <c r="A32" s="28" t="n">
        <v>0.21</v>
      </c>
      <c r="B32" s="29" t="n">
        <v>0</v>
      </c>
      <c r="C32" s="30" t="n">
        <f aca="false">IF(A32&gt;$B$6,$B$4*(1-EXP(-(A32-$B$6)/$B$5)),0)</f>
        <v>1042.43844642246</v>
      </c>
      <c r="D32" s="30" t="n">
        <f aca="false">B32-C32</f>
        <v>-1042.43844642246</v>
      </c>
    </row>
    <row r="33" customFormat="false" ht="15" hidden="false" customHeight="false" outlineLevel="0" collapsed="false">
      <c r="A33" s="28" t="n">
        <v>0.22</v>
      </c>
      <c r="B33" s="29" t="n">
        <v>0</v>
      </c>
      <c r="C33" s="30" t="n">
        <f aca="false">IF(A33&gt;$B$6,$B$4*(1-EXP(-(A33-$B$6)/$B$5)),0)</f>
        <v>1124.71906652636</v>
      </c>
      <c r="D33" s="30" t="n">
        <f aca="false">B33-C33</f>
        <v>-1124.71906652636</v>
      </c>
    </row>
    <row r="34" customFormat="false" ht="15" hidden="false" customHeight="false" outlineLevel="0" collapsed="false">
      <c r="A34" s="28" t="n">
        <v>0.23</v>
      </c>
      <c r="B34" s="29" t="n">
        <v>0</v>
      </c>
      <c r="C34" s="30" t="n">
        <f aca="false">IF(A34&gt;$B$6,$B$4*(1-EXP(-(A34-$B$6)/$B$5)),0)</f>
        <v>1205.72364819845</v>
      </c>
      <c r="D34" s="30" t="n">
        <f aca="false">B34-C34</f>
        <v>-1205.72364819845</v>
      </c>
    </row>
    <row r="35" customFormat="false" ht="15" hidden="false" customHeight="false" outlineLevel="0" collapsed="false">
      <c r="A35" s="28" t="n">
        <v>0.24</v>
      </c>
      <c r="B35" s="29" t="n">
        <v>1235.6</v>
      </c>
      <c r="C35" s="30" t="n">
        <f aca="false">IF(A35&gt;$B$6,$B$4*(1-EXP(-(A35-$B$6)/$B$5)),0)</f>
        <v>1285.4719807169</v>
      </c>
      <c r="D35" s="30" t="n">
        <f aca="false">B35-C35</f>
        <v>-49.8719807169016</v>
      </c>
    </row>
    <row r="36" customFormat="false" ht="15" hidden="false" customHeight="false" outlineLevel="0" collapsed="false">
      <c r="A36" s="28" t="n">
        <v>0.25</v>
      </c>
      <c r="B36" s="29" t="n">
        <v>1396.1</v>
      </c>
      <c r="C36" s="30" t="n">
        <f aca="false">IF(A36&gt;$B$6,$B$4*(1-EXP(-(A36-$B$6)/$B$5)),0)</f>
        <v>1363.98354646042</v>
      </c>
      <c r="D36" s="30" t="n">
        <f aca="false">B36-C36</f>
        <v>32.116453539584</v>
      </c>
    </row>
    <row r="37" customFormat="false" ht="15" hidden="false" customHeight="false" outlineLevel="0" collapsed="false">
      <c r="A37" s="28" t="n">
        <v>0.26</v>
      </c>
      <c r="B37" s="29" t="n">
        <v>1396.1</v>
      </c>
      <c r="C37" s="30" t="n">
        <f aca="false">IF(A37&gt;$B$6,$B$4*(1-EXP(-(A37-$B$6)/$B$5)),0)</f>
        <v>1441.27752566771</v>
      </c>
      <c r="D37" s="30" t="n">
        <f aca="false">B37-C37</f>
        <v>-45.177525667714</v>
      </c>
    </row>
    <row r="38" customFormat="false" ht="15" hidden="false" customHeight="false" outlineLevel="0" collapsed="false">
      <c r="A38" s="28" t="n">
        <v>0.27</v>
      </c>
      <c r="B38" s="29" t="n">
        <v>1532.3</v>
      </c>
      <c r="C38" s="30" t="n">
        <f aca="false">IF(A38&gt;$B$6,$B$4*(1-EXP(-(A38-$B$6)/$B$5)),0)</f>
        <v>1517.37280112325</v>
      </c>
      <c r="D38" s="30" t="n">
        <f aca="false">B38-C38</f>
        <v>14.9271988767493</v>
      </c>
    </row>
    <row r="39" customFormat="false" ht="15" hidden="false" customHeight="false" outlineLevel="0" collapsed="false">
      <c r="A39" s="28" t="n">
        <v>0.28</v>
      </c>
      <c r="B39" s="29" t="n">
        <v>1532.3</v>
      </c>
      <c r="C39" s="30" t="n">
        <f aca="false">IF(A39&gt;$B$6,$B$4*(1-EXP(-(A39-$B$6)/$B$5)),0)</f>
        <v>1592.28796277024</v>
      </c>
      <c r="D39" s="30" t="n">
        <f aca="false">B39-C39</f>
        <v>-59.9879627702426</v>
      </c>
    </row>
    <row r="40" customFormat="false" ht="15" hidden="false" customHeight="false" outlineLevel="0" collapsed="false">
      <c r="A40" s="28" t="n">
        <v>0.29</v>
      </c>
      <c r="B40" s="29" t="n">
        <v>1658.1</v>
      </c>
      <c r="C40" s="30" t="n">
        <f aca="false">IF(A40&gt;$B$6,$B$4*(1-EXP(-(A40-$B$6)/$B$5)),0)</f>
        <v>1666.04131225216</v>
      </c>
      <c r="D40" s="30" t="n">
        <f aca="false">B40-C40</f>
        <v>-7.94131225216006</v>
      </c>
    </row>
    <row r="41" customFormat="false" ht="15" hidden="false" customHeight="false" outlineLevel="0" collapsed="false">
      <c r="A41" s="28" t="n">
        <v>0.3</v>
      </c>
      <c r="B41" s="29" t="n">
        <v>1769.5</v>
      </c>
      <c r="C41" s="30" t="n">
        <f aca="false">IF(A41&gt;$B$6,$B$4*(1-EXP(-(A41-$B$6)/$B$5)),0)</f>
        <v>1738.65086738379</v>
      </c>
      <c r="D41" s="30" t="n">
        <f aca="false">B41-C41</f>
        <v>30.849132616215</v>
      </c>
    </row>
    <row r="42" customFormat="false" ht="15" hidden="false" customHeight="false" outlineLevel="0" collapsed="false">
      <c r="A42" s="28" t="n">
        <v>0.31</v>
      </c>
      <c r="B42" s="29" t="n">
        <v>1769.5</v>
      </c>
      <c r="C42" s="30" t="n">
        <f aca="false">IF(A42&gt;$B$6,$B$4*(1-EXP(-(A42-$B$6)/$B$5)),0)</f>
        <v>1810.13436655293</v>
      </c>
      <c r="D42" s="30" t="n">
        <f aca="false">B42-C42</f>
        <v>-40.6343665529325</v>
      </c>
    </row>
    <row r="43" customFormat="false" ht="15" hidden="false" customHeight="false" outlineLevel="0" collapsed="false">
      <c r="A43" s="28" t="n">
        <v>0.32</v>
      </c>
      <c r="B43" s="29" t="n">
        <v>1874.6</v>
      </c>
      <c r="C43" s="30" t="n">
        <f aca="false">IF(A43&gt;$B$6,$B$4*(1-EXP(-(A43-$B$6)/$B$5)),0)</f>
        <v>1880.50927305391</v>
      </c>
      <c r="D43" s="30" t="n">
        <f aca="false">B43-C43</f>
        <v>-5.9092730539071</v>
      </c>
    </row>
    <row r="44" customFormat="false" ht="15" hidden="false" customHeight="false" outlineLevel="0" collapsed="false">
      <c r="A44" s="28" t="n">
        <v>0.33</v>
      </c>
      <c r="B44" s="29" t="n">
        <v>1970.2</v>
      </c>
      <c r="C44" s="30" t="n">
        <f aca="false">IF(A44&gt;$B$6,$B$4*(1-EXP(-(A44-$B$6)/$B$5)),0)</f>
        <v>1949.79277935376</v>
      </c>
      <c r="D44" s="30" t="n">
        <f aca="false">B44-C44</f>
        <v>20.4072206462427</v>
      </c>
    </row>
    <row r="45" customFormat="false" ht="15" hidden="false" customHeight="false" outlineLevel="0" collapsed="false">
      <c r="A45" s="28" t="n">
        <v>0.34</v>
      </c>
      <c r="B45" s="29" t="n">
        <v>2062.6</v>
      </c>
      <c r="C45" s="30" t="n">
        <f aca="false">IF(A45&gt;$B$6,$B$4*(1-EXP(-(A45-$B$6)/$B$5)),0)</f>
        <v>2018.00181129236</v>
      </c>
      <c r="D45" s="30" t="n">
        <f aca="false">B45-C45</f>
        <v>44.5981887076371</v>
      </c>
    </row>
    <row r="46" customFormat="false" ht="15" hidden="false" customHeight="false" outlineLevel="0" collapsed="false">
      <c r="A46" s="28" t="n">
        <v>0.35</v>
      </c>
      <c r="B46" s="29" t="n">
        <v>2062.6</v>
      </c>
      <c r="C46" s="30" t="n">
        <f aca="false">IF(A46&gt;$B$6,$B$4*(1-EXP(-(A46-$B$6)/$B$5)),0)</f>
        <v>2085.15303221739</v>
      </c>
      <c r="D46" s="30" t="n">
        <f aca="false">B46-C46</f>
        <v>-22.55303221739</v>
      </c>
    </row>
    <row r="47" customFormat="false" ht="15" hidden="false" customHeight="false" outlineLevel="0" collapsed="false">
      <c r="A47" s="28" t="n">
        <v>0.36</v>
      </c>
      <c r="B47" s="29" t="n">
        <v>2147.3</v>
      </c>
      <c r="C47" s="30" t="n">
        <f aca="false">IF(A47&gt;$B$6,$B$4*(1-EXP(-(A47-$B$6)/$B$5)),0)</f>
        <v>2151.26284705512</v>
      </c>
      <c r="D47" s="30" t="n">
        <f aca="false">B47-C47</f>
        <v>-3.96284705511562</v>
      </c>
    </row>
    <row r="48" customFormat="false" ht="15" hidden="false" customHeight="false" outlineLevel="0" collapsed="false">
      <c r="A48" s="28" t="n">
        <v>0.37</v>
      </c>
      <c r="B48" s="29" t="n">
        <v>2228.3</v>
      </c>
      <c r="C48" s="30" t="n">
        <f aca="false">IF(A48&gt;$B$6,$B$4*(1-EXP(-(A48-$B$6)/$B$5)),0)</f>
        <v>2216.34740631813</v>
      </c>
      <c r="D48" s="30" t="n">
        <f aca="false">B48-C48</f>
        <v>11.9525936818741</v>
      </c>
    </row>
    <row r="49" customFormat="false" ht="15" hidden="false" customHeight="false" outlineLevel="0" collapsed="false">
      <c r="A49" s="28" t="n">
        <v>0.38</v>
      </c>
      <c r="B49" s="29" t="n">
        <v>2303.1</v>
      </c>
      <c r="C49" s="30" t="n">
        <f aca="false">IF(A49&gt;$B$6,$B$4*(1-EXP(-(A49-$B$6)/$B$5)),0)</f>
        <v>2280.42261005086</v>
      </c>
      <c r="D49" s="30" t="n">
        <f aca="false">B49-C49</f>
        <v>22.6773899491441</v>
      </c>
    </row>
    <row r="50" customFormat="false" ht="15" hidden="false" customHeight="false" outlineLevel="0" collapsed="false">
      <c r="A50" s="28" t="n">
        <v>0.39</v>
      </c>
      <c r="B50" s="29" t="n">
        <v>2376.6</v>
      </c>
      <c r="C50" s="30" t="n">
        <f aca="false">IF(A50&gt;$B$6,$B$4*(1-EXP(-(A50-$B$6)/$B$5)),0)</f>
        <v>2343.50411171394</v>
      </c>
      <c r="D50" s="30" t="n">
        <f aca="false">B50-C50</f>
        <v>33.0958882860587</v>
      </c>
    </row>
    <row r="51" customFormat="false" ht="15" hidden="false" customHeight="false" outlineLevel="0" collapsed="false">
      <c r="A51" s="28" t="n">
        <v>0.4</v>
      </c>
      <c r="B51" s="29" t="n">
        <v>2445.5</v>
      </c>
      <c r="C51" s="30" t="n">
        <f aca="false">IF(A51&gt;$B$6,$B$4*(1-EXP(-(A51-$B$6)/$B$5)),0)</f>
        <v>2405.60732200834</v>
      </c>
      <c r="D51" s="30" t="n">
        <f aca="false">B51-C51</f>
        <v>39.8926779916642</v>
      </c>
    </row>
    <row r="52" customFormat="false" ht="15" hidden="false" customHeight="false" outlineLevel="0" collapsed="false">
      <c r="A52" s="28" t="n">
        <v>0.41</v>
      </c>
      <c r="B52" s="29" t="n">
        <v>2513.2</v>
      </c>
      <c r="C52" s="30" t="n">
        <f aca="false">IF(A52&gt;$B$6,$B$4*(1-EXP(-(A52-$B$6)/$B$5)),0)</f>
        <v>2466.74741264012</v>
      </c>
      <c r="D52" s="30" t="n">
        <f aca="false">B52-C52</f>
        <v>46.4525873598846</v>
      </c>
    </row>
    <row r="53" customFormat="false" ht="15" hidden="false" customHeight="false" outlineLevel="0" collapsed="false">
      <c r="A53" s="28" t="n">
        <v>0.42</v>
      </c>
      <c r="B53" s="29" t="n">
        <v>2513.2</v>
      </c>
      <c r="C53" s="30" t="n">
        <f aca="false">IF(A53&gt;$B$6,$B$4*(1-EXP(-(A53-$B$6)/$B$5)),0)</f>
        <v>2526.9393200269</v>
      </c>
      <c r="D53" s="30" t="n">
        <f aca="false">B53-C53</f>
        <v>-13.7393200269003</v>
      </c>
    </row>
    <row r="54" customFormat="false" ht="15" hidden="false" customHeight="false" outlineLevel="0" collapsed="false">
      <c r="A54" s="28" t="n">
        <v>0.43</v>
      </c>
      <c r="B54" s="29" t="n">
        <v>2576.7</v>
      </c>
      <c r="C54" s="30" t="n">
        <f aca="false">IF(A54&gt;$B$6,$B$4*(1-EXP(-(A54-$B$6)/$B$5)),0)</f>
        <v>2586.1977489468</v>
      </c>
      <c r="D54" s="30" t="n">
        <f aca="false">B54-C54</f>
        <v>-9.49774894679604</v>
      </c>
    </row>
    <row r="55" customFormat="false" ht="15" hidden="false" customHeight="false" outlineLevel="0" collapsed="false">
      <c r="A55" s="28" t="n">
        <v>0.44</v>
      </c>
      <c r="B55" s="29" t="n">
        <v>2639.5</v>
      </c>
      <c r="C55" s="30" t="n">
        <f aca="false">IF(A55&gt;$B$6,$B$4*(1-EXP(-(A55-$B$6)/$B$5)),0)</f>
        <v>2644.53717613074</v>
      </c>
      <c r="D55" s="30" t="n">
        <f aca="false">B55-C55</f>
        <v>-5.03717613074377</v>
      </c>
    </row>
    <row r="56" customFormat="false" ht="15" hidden="false" customHeight="false" outlineLevel="0" collapsed="false">
      <c r="A56" s="28" t="n">
        <v>0.45</v>
      </c>
      <c r="B56" s="29" t="n">
        <v>2697.6</v>
      </c>
      <c r="C56" s="30" t="n">
        <f aca="false">IF(A56&gt;$B$6,$B$4*(1-EXP(-(A56-$B$6)/$B$5)),0)</f>
        <v>2701.97185379916</v>
      </c>
      <c r="D56" s="30" t="n">
        <f aca="false">B56-C56</f>
        <v>-4.371853799164</v>
      </c>
    </row>
    <row r="57" customFormat="false" ht="15" hidden="false" customHeight="false" outlineLevel="0" collapsed="false">
      <c r="A57" s="28" t="n">
        <v>0.46</v>
      </c>
      <c r="B57" s="29" t="n">
        <v>2756</v>
      </c>
      <c r="C57" s="30" t="n">
        <f aca="false">IF(A57&gt;$B$6,$B$4*(1-EXP(-(A57-$B$6)/$B$5)),0)</f>
        <v>2758.51581314375</v>
      </c>
      <c r="D57" s="30" t="n">
        <f aca="false">B57-C57</f>
        <v>-2.51581314374562</v>
      </c>
    </row>
    <row r="58" customFormat="false" ht="15" hidden="false" customHeight="false" outlineLevel="0" collapsed="false">
      <c r="A58" s="28" t="n">
        <v>0.47</v>
      </c>
      <c r="B58" s="29" t="n">
        <v>2811.1</v>
      </c>
      <c r="C58" s="30" t="n">
        <f aca="false">IF(A58&gt;$B$6,$B$4*(1-EXP(-(A58-$B$6)/$B$5)),0)</f>
        <v>2814.18286775524</v>
      </c>
      <c r="D58" s="30" t="n">
        <f aca="false">B58-C58</f>
        <v>-3.08286775524357</v>
      </c>
    </row>
    <row r="59" customFormat="false" ht="15" hidden="false" customHeight="false" outlineLevel="0" collapsed="false">
      <c r="A59" s="28" t="n">
        <v>0.48</v>
      </c>
      <c r="B59" s="29" t="n">
        <v>2865.6</v>
      </c>
      <c r="C59" s="30" t="n">
        <f aca="false">IF(A59&gt;$B$6,$B$4*(1-EXP(-(A59-$B$6)/$B$5)),0)</f>
        <v>2868.98661699811</v>
      </c>
      <c r="D59" s="30" t="n">
        <f aca="false">B59-C59</f>
        <v>-3.38661699811291</v>
      </c>
    </row>
    <row r="60" customFormat="false" ht="15" hidden="false" customHeight="false" outlineLevel="0" collapsed="false">
      <c r="A60" s="28" t="n">
        <v>0.49</v>
      </c>
      <c r="B60" s="29" t="n">
        <v>2917.6</v>
      </c>
      <c r="C60" s="30" t="n">
        <f aca="false">IF(A60&gt;$B$6,$B$4*(1-EXP(-(A60-$B$6)/$B$5)),0)</f>
        <v>2922.94044933281</v>
      </c>
      <c r="D60" s="30" t="n">
        <f aca="false">B60-C60</f>
        <v>-5.34044933281257</v>
      </c>
    </row>
    <row r="61" customFormat="false" ht="15" hidden="false" customHeight="false" outlineLevel="0" collapsed="false">
      <c r="A61" s="28" t="n">
        <v>0.5</v>
      </c>
      <c r="B61" s="29" t="n">
        <v>2969.6</v>
      </c>
      <c r="C61" s="30" t="n">
        <f aca="false">IF(A61&gt;$B$6,$B$4*(1-EXP(-(A61-$B$6)/$B$5)),0)</f>
        <v>2976.05754558658</v>
      </c>
      <c r="D61" s="30" t="n">
        <f aca="false">B61-C61</f>
        <v>-6.45754558658109</v>
      </c>
    </row>
    <row r="62" customFormat="false" ht="15" hidden="false" customHeight="false" outlineLevel="0" collapsed="false">
      <c r="A62" s="28" t="n">
        <v>0.51</v>
      </c>
      <c r="B62" s="29" t="n">
        <v>3018.6</v>
      </c>
      <c r="C62" s="30" t="n">
        <f aca="false">IF(A62&gt;$B$6,$B$4*(1-EXP(-(A62-$B$6)/$B$5)),0)</f>
        <v>3028.35088217349</v>
      </c>
      <c r="D62" s="30" t="n">
        <f aca="false">B62-C62</f>
        <v>-9.75088217348957</v>
      </c>
    </row>
    <row r="63" customFormat="false" ht="15" hidden="false" customHeight="false" outlineLevel="0" collapsed="false">
      <c r="A63" s="28" t="n">
        <v>0.52</v>
      </c>
      <c r="B63" s="29" t="n">
        <v>3067.2</v>
      </c>
      <c r="C63" s="30" t="n">
        <f aca="false">IF(A63&gt;$B$6,$B$4*(1-EXP(-(A63-$B$6)/$B$5)),0)</f>
        <v>3079.83323426456</v>
      </c>
      <c r="D63" s="30" t="n">
        <f aca="false">B63-C63</f>
        <v>-12.6332342645587</v>
      </c>
    </row>
    <row r="64" customFormat="false" ht="15" hidden="false" customHeight="false" outlineLevel="0" collapsed="false">
      <c r="A64" s="28" t="n">
        <v>0.53</v>
      </c>
      <c r="B64" s="29" t="n">
        <v>3159.2</v>
      </c>
      <c r="C64" s="30" t="n">
        <f aca="false">IF(A64&gt;$B$6,$B$4*(1-EXP(-(A64-$B$6)/$B$5)),0)</f>
        <v>3130.51717890871</v>
      </c>
      <c r="D64" s="30" t="n">
        <f aca="false">B64-C64</f>
        <v>28.6828210912904</v>
      </c>
    </row>
    <row r="65" customFormat="false" ht="15" hidden="false" customHeight="false" outlineLevel="0" collapsed="false">
      <c r="A65" s="28" t="n">
        <v>0.54</v>
      </c>
      <c r="B65" s="29" t="n">
        <v>3202.6</v>
      </c>
      <c r="C65" s="30" t="n">
        <f aca="false">IF(A65&gt;$B$6,$B$4*(1-EXP(-(A65-$B$6)/$B$5)),0)</f>
        <v>3180.41509810532</v>
      </c>
      <c r="D65" s="30" t="n">
        <f aca="false">B65-C65</f>
        <v>22.184901894685</v>
      </c>
    </row>
    <row r="66" customFormat="false" ht="15" hidden="false" customHeight="false" outlineLevel="0" collapsed="false">
      <c r="A66" s="28" t="n">
        <v>0.55</v>
      </c>
      <c r="B66" s="29" t="n">
        <v>3245.9</v>
      </c>
      <c r="C66" s="30" t="n">
        <f aca="false">IF(A66&gt;$B$6,$B$4*(1-EXP(-(A66-$B$6)/$B$5)),0)</f>
        <v>3229.5391818291</v>
      </c>
      <c r="D66" s="30" t="n">
        <f aca="false">B66-C66</f>
        <v>16.3608181709014</v>
      </c>
    </row>
    <row r="67" customFormat="false" ht="15" hidden="false" customHeight="false" outlineLevel="0" collapsed="false">
      <c r="A67" s="28" t="n">
        <v>0.56</v>
      </c>
      <c r="B67" s="29" t="n">
        <v>3287.3</v>
      </c>
      <c r="C67" s="30" t="n">
        <f aca="false">IF(A67&gt;$B$6,$B$4*(1-EXP(-(A67-$B$6)/$B$5)),0)</f>
        <v>3277.90143100813</v>
      </c>
      <c r="D67" s="30" t="n">
        <f aca="false">B67-C67</f>
        <v>9.39856899186907</v>
      </c>
    </row>
    <row r="68" customFormat="false" ht="15" hidden="false" customHeight="false" outlineLevel="0" collapsed="false">
      <c r="A68" s="28" t="n">
        <v>0.57</v>
      </c>
      <c r="B68" s="29" t="n">
        <v>3328.9</v>
      </c>
      <c r="C68" s="30" t="n">
        <f aca="false">IF(A68&gt;$B$6,$B$4*(1-EXP(-(A68-$B$6)/$B$5)),0)</f>
        <v>3325.51366045562</v>
      </c>
      <c r="D68" s="30" t="n">
        <f aca="false">B68-C68</f>
        <v>3.38633954437591</v>
      </c>
    </row>
    <row r="69" customFormat="false" ht="15" hidden="false" customHeight="false" outlineLevel="0" collapsed="false">
      <c r="A69" s="28" t="n">
        <v>0.58</v>
      </c>
      <c r="B69" s="29" t="n">
        <v>3368.9</v>
      </c>
      <c r="C69" s="30" t="n">
        <f aca="false">IF(A69&gt;$B$6,$B$4*(1-EXP(-(A69-$B$6)/$B$5)),0)</f>
        <v>3372.38750175628</v>
      </c>
      <c r="D69" s="30" t="n">
        <f aca="false">B69-C69</f>
        <v>-3.48750175628265</v>
      </c>
    </row>
    <row r="70" customFormat="false" ht="15" hidden="false" customHeight="false" outlineLevel="0" collapsed="false">
      <c r="A70" s="28" t="n">
        <v>0.59</v>
      </c>
      <c r="B70" s="29" t="n">
        <v>3408.1</v>
      </c>
      <c r="C70" s="30" t="n">
        <f aca="false">IF(A70&gt;$B$6,$B$4*(1-EXP(-(A70-$B$6)/$B$5)),0)</f>
        <v>3418.53440610787</v>
      </c>
      <c r="D70" s="30" t="n">
        <f aca="false">B70-C70</f>
        <v>-10.4344061078687</v>
      </c>
    </row>
    <row r="71" customFormat="false" ht="15" hidden="false" customHeight="false" outlineLevel="0" collapsed="false">
      <c r="A71" s="28" t="n">
        <v>0.6</v>
      </c>
      <c r="B71" s="29" t="n">
        <v>3482.9</v>
      </c>
      <c r="C71" s="30" t="n">
        <f aca="false">IF(A71&gt;$B$6,$B$4*(1-EXP(-(A71-$B$6)/$B$5)),0)</f>
        <v>3463.96564711872</v>
      </c>
      <c r="D71" s="30" t="n">
        <f aca="false">B71-C71</f>
        <v>18.9343528812828</v>
      </c>
    </row>
    <row r="72" customFormat="false" ht="15" hidden="false" customHeight="false" outlineLevel="0" collapsed="false">
      <c r="A72" s="28" t="n">
        <v>0.61</v>
      </c>
      <c r="B72" s="29" t="n">
        <v>3519.1</v>
      </c>
      <c r="C72" s="30" t="n">
        <f aca="false">IF(A72&gt;$B$6,$B$4*(1-EXP(-(A72-$B$6)/$B$5)),0)</f>
        <v>3508.69232356186</v>
      </c>
      <c r="D72" s="30" t="n">
        <f aca="false">B72-C72</f>
        <v>10.4076764381448</v>
      </c>
    </row>
    <row r="73" customFormat="false" ht="15" hidden="false" customHeight="false" outlineLevel="0" collapsed="false">
      <c r="A73" s="28" t="n">
        <v>0.62</v>
      </c>
      <c r="B73" s="29" t="n">
        <v>3555.3</v>
      </c>
      <c r="C73" s="30" t="n">
        <f aca="false">IF(A73&gt;$B$6,$B$4*(1-EXP(-(A73-$B$6)/$B$5)),0)</f>
        <v>3552.72536208641</v>
      </c>
      <c r="D73" s="30" t="n">
        <f aca="false">B73-C73</f>
        <v>2.5746379135885</v>
      </c>
    </row>
    <row r="74" customFormat="false" ht="15" hidden="false" customHeight="false" outlineLevel="0" collapsed="false">
      <c r="A74" s="28" t="n">
        <v>0.63</v>
      </c>
      <c r="B74" s="29" t="n">
        <v>3589.8</v>
      </c>
      <c r="C74" s="30" t="n">
        <f aca="false">IF(A74&gt;$B$6,$B$4*(1-EXP(-(A74-$B$6)/$B$5)),0)</f>
        <v>3596.07551988698</v>
      </c>
      <c r="D74" s="30" t="n">
        <f aca="false">B74-C74</f>
        <v>-6.27551988698178</v>
      </c>
    </row>
    <row r="75" customFormat="false" ht="15" hidden="false" customHeight="false" outlineLevel="0" collapsed="false">
      <c r="A75" s="28" t="n">
        <v>0.64</v>
      </c>
      <c r="B75" s="29" t="n">
        <v>3656.1</v>
      </c>
      <c r="C75" s="30" t="n">
        <f aca="false">IF(A75&gt;$B$6,$B$4*(1-EXP(-(A75-$B$6)/$B$5)),0)</f>
        <v>3638.75338733159</v>
      </c>
      <c r="D75" s="30" t="n">
        <f aca="false">B75-C75</f>
        <v>17.3466126684093</v>
      </c>
    </row>
    <row r="76" customFormat="false" ht="15" hidden="false" customHeight="false" outlineLevel="0" collapsed="false">
      <c r="A76" s="28" t="n">
        <v>0.65</v>
      </c>
      <c r="B76" s="29" t="n">
        <v>3689.6</v>
      </c>
      <c r="C76" s="30" t="n">
        <f aca="false">IF(A76&gt;$B$6,$B$4*(1-EXP(-(A76-$B$6)/$B$5)),0)</f>
        <v>3680.7693905489</v>
      </c>
      <c r="D76" s="30" t="n">
        <f aca="false">B76-C76</f>
        <v>8.83060945110174</v>
      </c>
    </row>
    <row r="77" customFormat="false" ht="15" hidden="false" customHeight="false" outlineLevel="0" collapsed="false">
      <c r="A77" s="28" t="n">
        <v>0.66</v>
      </c>
      <c r="B77" s="29" t="n">
        <v>3721.4</v>
      </c>
      <c r="C77" s="30" t="n">
        <f aca="false">IF(A77&gt;$B$6,$B$4*(1-EXP(-(A77-$B$6)/$B$5)),0)</f>
        <v>3722.13379397529</v>
      </c>
      <c r="D77" s="30" t="n">
        <f aca="false">B77-C77</f>
        <v>-0.733793975288336</v>
      </c>
    </row>
    <row r="78" customFormat="false" ht="15" hidden="false" customHeight="false" outlineLevel="0" collapsed="false">
      <c r="A78" s="28" t="n">
        <v>0.67</v>
      </c>
      <c r="B78" s="29" t="n">
        <v>3754.5</v>
      </c>
      <c r="C78" s="30" t="n">
        <f aca="false">IF(A78&gt;$B$6,$B$4*(1-EXP(-(A78-$B$6)/$B$5)),0)</f>
        <v>3762.85670286245</v>
      </c>
      <c r="D78" s="30" t="n">
        <f aca="false">B78-C78</f>
        <v>-8.35670286245295</v>
      </c>
    </row>
    <row r="79" customFormat="false" ht="15" hidden="false" customHeight="false" outlineLevel="0" collapsed="false">
      <c r="A79" s="28" t="n">
        <v>0.68</v>
      </c>
      <c r="B79" s="29" t="n">
        <v>3815.1</v>
      </c>
      <c r="C79" s="30" t="n">
        <f aca="false">IF(A79&gt;$B$6,$B$4*(1-EXP(-(A79-$B$6)/$B$5)),0)</f>
        <v>3802.94806574608</v>
      </c>
      <c r="D79" s="30" t="n">
        <f aca="false">B79-C79</f>
        <v>12.1519342539173</v>
      </c>
    </row>
    <row r="80" customFormat="false" ht="15" hidden="false" customHeight="false" outlineLevel="0" collapsed="false">
      <c r="A80" s="28" t="n">
        <v>0.69</v>
      </c>
      <c r="B80" s="29" t="n">
        <v>3844.4</v>
      </c>
      <c r="C80" s="30" t="n">
        <f aca="false">IF(A80&gt;$B$6,$B$4*(1-EXP(-(A80-$B$6)/$B$5)),0)</f>
        <v>3842.41767687628</v>
      </c>
      <c r="D80" s="30" t="n">
        <f aca="false">B80-C80</f>
        <v>1.98232312372056</v>
      </c>
    </row>
    <row r="81" customFormat="false" ht="15" hidden="false" customHeight="false" outlineLevel="0" collapsed="false">
      <c r="A81" s="28" t="n">
        <v>0.7</v>
      </c>
      <c r="B81" s="29" t="n">
        <v>3874.2</v>
      </c>
      <c r="C81" s="30" t="n">
        <f aca="false">IF(A81&gt;$B$6,$B$4*(1-EXP(-(A81-$B$6)/$B$5)),0)</f>
        <v>3881.27517861028</v>
      </c>
      <c r="D81" s="30" t="n">
        <f aca="false">B81-C81</f>
        <v>-7.07517861027964</v>
      </c>
    </row>
    <row r="82" customFormat="false" ht="15" hidden="false" customHeight="false" outlineLevel="0" collapsed="false">
      <c r="A82" s="28" t="n">
        <v>0.71</v>
      </c>
      <c r="B82" s="29" t="n">
        <v>3930.8</v>
      </c>
      <c r="C82" s="30" t="n">
        <f aca="false">IF(A82&gt;$B$6,$B$4*(1-EXP(-(A82-$B$6)/$B$5)),0)</f>
        <v>3919.53006376806</v>
      </c>
      <c r="D82" s="30" t="n">
        <f aca="false">B82-C82</f>
        <v>11.2699362319445</v>
      </c>
    </row>
    <row r="83" customFormat="false" ht="15" hidden="false" customHeight="false" outlineLevel="0" collapsed="false">
      <c r="A83" s="28" t="n">
        <v>0.72</v>
      </c>
      <c r="B83" s="29" t="n">
        <v>3958.3</v>
      </c>
      <c r="C83" s="30" t="n">
        <f aca="false">IF(A83&gt;$B$6,$B$4*(1-EXP(-(A83-$B$6)/$B$5)),0)</f>
        <v>3957.1916779514</v>
      </c>
      <c r="D83" s="30" t="n">
        <f aca="false">B83-C83</f>
        <v>1.10832204859798</v>
      </c>
    </row>
    <row r="84" customFormat="false" ht="15" hidden="false" customHeight="false" outlineLevel="0" collapsed="false">
      <c r="A84" s="28" t="n">
        <v>0.73</v>
      </c>
      <c r="B84" s="29" t="n">
        <v>3985.9</v>
      </c>
      <c r="C84" s="30" t="n">
        <f aca="false">IF(A84&gt;$B$6,$B$4*(1-EXP(-(A84-$B$6)/$B$5)),0)</f>
        <v>3994.26922182705</v>
      </c>
      <c r="D84" s="30" t="n">
        <f aca="false">B84-C84</f>
        <v>-8.36922182704848</v>
      </c>
    </row>
    <row r="85" customFormat="false" ht="15" hidden="false" customHeight="false" outlineLevel="0" collapsed="false">
      <c r="A85" s="28" t="n">
        <v>0.74</v>
      </c>
      <c r="B85" s="29" t="n">
        <v>4038.8</v>
      </c>
      <c r="C85" s="30" t="n">
        <f aca="false">IF(A85&gt;$B$6,$B$4*(1-EXP(-(A85-$B$6)/$B$5)),0)</f>
        <v>4030.77175337437</v>
      </c>
      <c r="D85" s="30" t="n">
        <f aca="false">B85-C85</f>
        <v>8.02824662563444</v>
      </c>
    </row>
    <row r="86" customFormat="false" ht="15" hidden="false" customHeight="false" outlineLevel="0" collapsed="false">
      <c r="A86" s="28" t="n">
        <v>0.75</v>
      </c>
      <c r="B86" s="29" t="n">
        <v>4064.5</v>
      </c>
      <c r="C86" s="30" t="n">
        <f aca="false">IF(A86&gt;$B$6,$B$4*(1-EXP(-(A86-$B$6)/$B$5)),0)</f>
        <v>4066.70819009822</v>
      </c>
      <c r="D86" s="30" t="n">
        <f aca="false">B86-C86</f>
        <v>-2.2081900982148</v>
      </c>
    </row>
    <row r="87" customFormat="false" ht="15" hidden="false" customHeight="false" outlineLevel="0" collapsed="false">
      <c r="A87" s="28" t="n">
        <v>0.76</v>
      </c>
      <c r="B87" s="29" t="n">
        <v>4090.3</v>
      </c>
      <c r="C87" s="30" t="n">
        <f aca="false">IF(A87&gt;$B$6,$B$4*(1-EXP(-(A87-$B$6)/$B$5)),0)</f>
        <v>4102.08731120748</v>
      </c>
      <c r="D87" s="30" t="n">
        <f aca="false">B87-C87</f>
        <v>-11.7873112074758</v>
      </c>
    </row>
    <row r="88" customFormat="false" ht="15" hidden="false" customHeight="false" outlineLevel="0" collapsed="false">
      <c r="A88" s="28" t="n">
        <v>0.77</v>
      </c>
      <c r="B88" s="29" t="n">
        <v>4140.2</v>
      </c>
      <c r="C88" s="30" t="n">
        <f aca="false">IF(A88&gt;$B$6,$B$4*(1-EXP(-(A88-$B$6)/$B$5)),0)</f>
        <v>4136.9177597598</v>
      </c>
      <c r="D88" s="30" t="n">
        <f aca="false">B88-C88</f>
        <v>3.28224024020165</v>
      </c>
    </row>
    <row r="89" customFormat="false" ht="15" hidden="false" customHeight="false" outlineLevel="0" collapsed="false">
      <c r="A89" s="28" t="n">
        <v>0.78</v>
      </c>
      <c r="B89" s="29" t="n">
        <v>4164.4</v>
      </c>
      <c r="C89" s="30" t="n">
        <f aca="false">IF(A89&gt;$B$6,$B$4*(1-EXP(-(A89-$B$6)/$B$5)),0)</f>
        <v>4171.20804477308</v>
      </c>
      <c r="D89" s="30" t="n">
        <f aca="false">B89-C89</f>
        <v>-6.80804477307902</v>
      </c>
    </row>
    <row r="90" customFormat="false" ht="15" hidden="false" customHeight="false" outlineLevel="0" collapsed="false">
      <c r="A90" s="28" t="n">
        <v>0.79</v>
      </c>
      <c r="B90" s="29" t="n">
        <v>4212.9</v>
      </c>
      <c r="C90" s="30" t="n">
        <f aca="false">IF(A90&gt;$B$6,$B$4*(1-EXP(-(A90-$B$6)/$B$5)),0)</f>
        <v>4204.9665433042</v>
      </c>
      <c r="D90" s="30" t="n">
        <f aca="false">B90-C90</f>
        <v>7.93345669579594</v>
      </c>
    </row>
    <row r="91" customFormat="false" ht="15" hidden="false" customHeight="false" outlineLevel="0" collapsed="false">
      <c r="A91" s="28" t="n">
        <v>0.8</v>
      </c>
      <c r="B91" s="29" t="n">
        <v>4236.1</v>
      </c>
      <c r="C91" s="30" t="n">
        <f aca="false">IF(A91&gt;$B$6,$B$4*(1-EXP(-(A91-$B$6)/$B$5)),0)</f>
        <v>4238.20150249555</v>
      </c>
      <c r="D91" s="30" t="n">
        <f aca="false">B91-C91</f>
        <v>-2.10150249555045</v>
      </c>
    </row>
    <row r="92" customFormat="false" ht="15" hidden="false" customHeight="false" outlineLevel="0" collapsed="false">
      <c r="A92" s="28" t="n">
        <v>0.81</v>
      </c>
      <c r="B92" s="29" t="n">
        <v>4281.1</v>
      </c>
      <c r="C92" s="30" t="n">
        <f aca="false">IF(A92&gt;$B$6,$B$4*(1-EXP(-(A92-$B$6)/$B$5)),0)</f>
        <v>4270.92104158975</v>
      </c>
      <c r="D92" s="30" t="n">
        <f aca="false">B92-C92</f>
        <v>10.1789584102553</v>
      </c>
    </row>
    <row r="93" customFormat="false" ht="15" hidden="false" customHeight="false" outlineLevel="0" collapsed="false">
      <c r="A93" s="28" t="n">
        <v>0.82</v>
      </c>
      <c r="B93" s="29" t="n">
        <v>4302.9</v>
      </c>
      <c r="C93" s="30" t="n">
        <f aca="false">IF(A93&gt;$B$6,$B$4*(1-EXP(-(A93-$B$6)/$B$5)),0)</f>
        <v>4303.13315391318</v>
      </c>
      <c r="D93" s="30" t="n">
        <f aca="false">B93-C93</f>
        <v>-0.233153913182832</v>
      </c>
    </row>
    <row r="94" customFormat="false" ht="15" hidden="false" customHeight="false" outlineLevel="0" collapsed="false">
      <c r="A94" s="28" t="n">
        <v>0.83</v>
      </c>
      <c r="B94" s="29" t="n">
        <v>4324.6</v>
      </c>
      <c r="C94" s="30" t="n">
        <f aca="false">IF(A94&gt;$B$6,$B$4*(1-EXP(-(A94-$B$6)/$B$5)),0)</f>
        <v>4334.84570882878</v>
      </c>
      <c r="D94" s="30" t="n">
        <f aca="false">B94-C94</f>
        <v>-10.245708828782</v>
      </c>
    </row>
    <row r="95" customFormat="false" ht="15" hidden="false" customHeight="false" outlineLevel="0" collapsed="false">
      <c r="A95" s="28" t="n">
        <v>0.84</v>
      </c>
      <c r="B95" s="29" t="n">
        <v>4368.1</v>
      </c>
      <c r="C95" s="30" t="n">
        <f aca="false">IF(A95&gt;$B$6,$B$4*(1-EXP(-(A95-$B$6)/$B$5)),0)</f>
        <v>4366.06645365846</v>
      </c>
      <c r="D95" s="30" t="n">
        <f aca="false">B95-C95</f>
        <v>2.0335463415413</v>
      </c>
    </row>
    <row r="96" customFormat="false" ht="15" hidden="false" customHeight="false" outlineLevel="0" collapsed="false">
      <c r="A96" s="28" t="n">
        <v>0.85</v>
      </c>
      <c r="B96" s="29" t="n">
        <v>4387.9</v>
      </c>
      <c r="C96" s="30" t="n">
        <f aca="false">IF(A96&gt;$B$6,$B$4*(1-EXP(-(A96-$B$6)/$B$5)),0)</f>
        <v>4396.80301557578</v>
      </c>
      <c r="D96" s="30" t="n">
        <f aca="false">B96-C96</f>
        <v>-8.90301557578187</v>
      </c>
    </row>
    <row r="97" customFormat="false" ht="15" hidden="false" customHeight="false" outlineLevel="0" collapsed="false">
      <c r="A97" s="28" t="n">
        <v>0.86</v>
      </c>
      <c r="B97" s="29" t="n">
        <v>4428</v>
      </c>
      <c r="C97" s="30" t="n">
        <f aca="false">IF(A97&gt;$B$6,$B$4*(1-EXP(-(A97-$B$6)/$B$5)),0)</f>
        <v>4427.06290346927</v>
      </c>
      <c r="D97" s="30" t="n">
        <f aca="false">B97-C97</f>
        <v>0.937096530727104</v>
      </c>
    </row>
    <row r="98" customFormat="false" ht="15" hidden="false" customHeight="false" outlineLevel="0" collapsed="false">
      <c r="A98" s="28" t="n">
        <v>0.87</v>
      </c>
      <c r="B98" s="29" t="n">
        <v>4447.4</v>
      </c>
      <c r="C98" s="30" t="n">
        <f aca="false">IF(A98&gt;$B$6,$B$4*(1-EXP(-(A98-$B$6)/$B$5)),0)</f>
        <v>4456.85350977683</v>
      </c>
      <c r="D98" s="30" t="n">
        <f aca="false">B98-C98</f>
        <v>-9.45350977682847</v>
      </c>
    </row>
    <row r="99" customFormat="false" ht="15" hidden="false" customHeight="false" outlineLevel="0" collapsed="false">
      <c r="A99" s="28" t="n">
        <v>0.88</v>
      </c>
      <c r="B99" s="29" t="n">
        <v>4486</v>
      </c>
      <c r="C99" s="30" t="n">
        <f aca="false">IF(A99&gt;$B$6,$B$4*(1-EXP(-(A99-$B$6)/$B$5)),0)</f>
        <v>4486.18211229166</v>
      </c>
      <c r="D99" s="30" t="n">
        <f aca="false">B99-C99</f>
        <v>-0.182112291663543</v>
      </c>
    </row>
    <row r="100" customFormat="false" ht="15" hidden="false" customHeight="false" outlineLevel="0" collapsed="false">
      <c r="A100" s="28" t="n">
        <v>0.89</v>
      </c>
      <c r="B100" s="29" t="n">
        <v>4504.5</v>
      </c>
      <c r="C100" s="30" t="n">
        <f aca="false">IF(A100&gt;$B$6,$B$4*(1-EXP(-(A100-$B$6)/$B$5)),0)</f>
        <v>4515.05587594028</v>
      </c>
      <c r="D100" s="30" t="n">
        <f aca="false">B100-C100</f>
        <v>-10.5558759402766</v>
      </c>
    </row>
    <row r="101" customFormat="false" ht="15" hidden="false" customHeight="false" outlineLevel="0" collapsed="false">
      <c r="A101" s="28" t="n">
        <v>0.9</v>
      </c>
      <c r="B101" s="29" t="n">
        <v>4541</v>
      </c>
      <c r="C101" s="30" t="n">
        <f aca="false">IF(A101&gt;$B$6,$B$4*(1-EXP(-(A101-$B$6)/$B$5)),0)</f>
        <v>4543.48185453282</v>
      </c>
      <c r="D101" s="30" t="n">
        <f aca="false">B101-C101</f>
        <v>-2.48185453282258</v>
      </c>
    </row>
    <row r="102" customFormat="false" ht="15" hidden="false" customHeight="false" outlineLevel="0" collapsed="false">
      <c r="A102" s="28" t="n">
        <v>0.91</v>
      </c>
      <c r="B102" s="29" t="n">
        <v>4576.7</v>
      </c>
      <c r="C102" s="30" t="n">
        <f aca="false">IF(A102&gt;$B$6,$B$4*(1-EXP(-(A102-$B$6)/$B$5)),0)</f>
        <v>4571.46699248635</v>
      </c>
      <c r="D102" s="30" t="n">
        <f aca="false">B102-C102</f>
        <v>5.23300751365514</v>
      </c>
    </row>
    <row r="103" customFormat="false" ht="15" hidden="false" customHeight="false" outlineLevel="0" collapsed="false">
      <c r="A103" s="28" t="n">
        <v>0.92</v>
      </c>
      <c r="B103" s="29" t="n">
        <v>4594.5</v>
      </c>
      <c r="C103" s="30" t="n">
        <f aca="false">IF(A103&gt;$B$6,$B$4*(1-EXP(-(A103-$B$6)/$B$5)),0)</f>
        <v>4599.01812652129</v>
      </c>
      <c r="D103" s="30" t="n">
        <f aca="false">B103-C103</f>
        <v>-4.51812652128956</v>
      </c>
    </row>
    <row r="104" customFormat="false" ht="15" hidden="false" customHeight="false" outlineLevel="0" collapsed="false">
      <c r="A104" s="28" t="n">
        <v>0.93</v>
      </c>
      <c r="B104" s="29" t="n">
        <v>4628.6</v>
      </c>
      <c r="C104" s="30" t="n">
        <f aca="false">IF(A104&gt;$B$6,$B$4*(1-EXP(-(A104-$B$6)/$B$5)),0)</f>
        <v>4626.1419873317</v>
      </c>
      <c r="D104" s="30" t="n">
        <f aca="false">B104-C104</f>
        <v>2.4580126683004</v>
      </c>
    </row>
    <row r="105" customFormat="false" ht="15" hidden="false" customHeight="false" outlineLevel="0" collapsed="false">
      <c r="A105" s="28" t="n">
        <v>0.94</v>
      </c>
      <c r="B105" s="29" t="n">
        <v>4645</v>
      </c>
      <c r="C105" s="30" t="n">
        <f aca="false">IF(A105&gt;$B$6,$B$4*(1-EXP(-(A105-$B$6)/$B$5)),0)</f>
        <v>4652.84520122952</v>
      </c>
      <c r="D105" s="30" t="n">
        <f aca="false">B105-C105</f>
        <v>-7.84520122951653</v>
      </c>
    </row>
    <row r="106" customFormat="false" ht="15" hidden="false" customHeight="false" outlineLevel="0" collapsed="false">
      <c r="A106" s="28" t="n">
        <v>0.95</v>
      </c>
      <c r="B106" s="29" t="n">
        <v>4677.6</v>
      </c>
      <c r="C106" s="30" t="n">
        <f aca="false">IF(A106&gt;$B$6,$B$4*(1-EXP(-(A106-$B$6)/$B$5)),0)</f>
        <v>4679.13429176337</v>
      </c>
      <c r="D106" s="30" t="n">
        <f aca="false">B106-C106</f>
        <v>-1.53429176336977</v>
      </c>
    </row>
    <row r="107" customFormat="false" ht="15" hidden="false" customHeight="false" outlineLevel="0" collapsed="false">
      <c r="A107" s="28" t="n">
        <v>0.96</v>
      </c>
      <c r="B107" s="29" t="n">
        <v>4693.7</v>
      </c>
      <c r="C107" s="30" t="n">
        <f aca="false">IF(A107&gt;$B$6,$B$4*(1-EXP(-(A107-$B$6)/$B$5)),0)</f>
        <v>4705.01568131228</v>
      </c>
      <c r="D107" s="30" t="n">
        <f aca="false">B107-C107</f>
        <v>-11.315681312276</v>
      </c>
    </row>
    <row r="108" customFormat="false" ht="15" hidden="false" customHeight="false" outlineLevel="0" collapsed="false">
      <c r="A108" s="28" t="n">
        <v>0.97</v>
      </c>
      <c r="B108" s="29" t="n">
        <v>4725.5</v>
      </c>
      <c r="C108" s="30" t="n">
        <f aca="false">IF(A108&gt;$B$6,$B$4*(1-EXP(-(A108-$B$6)/$B$5)),0)</f>
        <v>4730.49569265461</v>
      </c>
      <c r="D108" s="30" t="n">
        <f aca="false">B108-C108</f>
        <v>-4.99569265460923</v>
      </c>
    </row>
    <row r="109" customFormat="false" ht="15" hidden="false" customHeight="false" outlineLevel="0" collapsed="false">
      <c r="A109" s="28" t="n">
        <v>0.98</v>
      </c>
      <c r="B109" s="29" t="n">
        <v>4756.2</v>
      </c>
      <c r="C109" s="30" t="n">
        <f aca="false">IF(A109&gt;$B$6,$B$4*(1-EXP(-(A109-$B$6)/$B$5)),0)</f>
        <v>4755.58055051275</v>
      </c>
      <c r="D109" s="30" t="n">
        <f aca="false">B109-C109</f>
        <v>0.619449487251586</v>
      </c>
    </row>
    <row r="110" customFormat="false" ht="15" hidden="false" customHeight="false" outlineLevel="0" collapsed="false">
      <c r="A110" s="28" t="n">
        <v>0.99</v>
      </c>
      <c r="B110" s="29" t="n">
        <v>4770.6</v>
      </c>
      <c r="C110" s="30" t="n">
        <f aca="false">IF(A110&gt;$B$6,$B$4*(1-EXP(-(A110-$B$6)/$B$5)),0)</f>
        <v>4780.27638307377</v>
      </c>
      <c r="D110" s="30" t="n">
        <f aca="false">B110-C110</f>
        <v>-9.67638307376456</v>
      </c>
    </row>
    <row r="111" customFormat="false" ht="15" hidden="false" customHeight="false" outlineLevel="0" collapsed="false">
      <c r="A111" s="28" t="n">
        <v>1</v>
      </c>
      <c r="B111" s="29" t="n">
        <v>4801.5</v>
      </c>
      <c r="C111" s="30" t="n">
        <f aca="false">IF(A111&gt;$B$6,$B$4*(1-EXP(-(A111-$B$6)/$B$5)),0)</f>
        <v>4804.58922348653</v>
      </c>
      <c r="D111" s="30" t="n">
        <f aca="false">B111-C111</f>
        <v>-3.08922348652595</v>
      </c>
    </row>
    <row r="112" customFormat="false" ht="15" hidden="false" customHeight="false" outlineLevel="0" collapsed="false">
      <c r="A112" s="28" t="n">
        <v>1.01</v>
      </c>
      <c r="B112" s="29" t="n">
        <v>4816.6</v>
      </c>
      <c r="C112" s="30" t="n">
        <f aca="false">IF(A112&gt;$B$6,$B$4*(1-EXP(-(A112-$B$6)/$B$5)),0)</f>
        <v>4828.52501133559</v>
      </c>
      <c r="D112" s="30" t="n">
        <f aca="false">B112-C112</f>
        <v>-11.9250113355865</v>
      </c>
    </row>
    <row r="113" customFormat="false" ht="15" hidden="false" customHeight="false" outlineLevel="0" collapsed="false">
      <c r="A113" s="28" t="n">
        <v>1.02</v>
      </c>
      <c r="B113" s="29" t="n">
        <v>4846.1</v>
      </c>
      <c r="C113" s="30" t="n">
        <f aca="false">IF(A113&gt;$B$6,$B$4*(1-EXP(-(A113-$B$6)/$B$5)),0)</f>
        <v>4852.08959409222</v>
      </c>
      <c r="D113" s="30" t="n">
        <f aca="false">B113-C113</f>
        <v>-5.98959409221607</v>
      </c>
    </row>
    <row r="114" customFormat="false" ht="15" hidden="false" customHeight="false" outlineLevel="0" collapsed="false">
      <c r="A114" s="28" t="n">
        <v>1.03</v>
      </c>
      <c r="B114" s="29" t="n">
        <v>4874.1</v>
      </c>
      <c r="C114" s="30" t="n">
        <f aca="false">IF(A114&gt;$B$6,$B$4*(1-EXP(-(A114-$B$6)/$B$5)),0)</f>
        <v>4875.28872854293</v>
      </c>
      <c r="D114" s="30" t="n">
        <f aca="false">B114-C114</f>
        <v>-1.18872854292658</v>
      </c>
    </row>
    <row r="115" customFormat="false" ht="15" hidden="false" customHeight="false" outlineLevel="0" collapsed="false">
      <c r="A115" s="28" t="n">
        <v>1.04</v>
      </c>
      <c r="B115" s="29" t="n">
        <v>4888</v>
      </c>
      <c r="C115" s="30" t="n">
        <f aca="false">IF(A115&gt;$B$6,$B$4*(1-EXP(-(A115-$B$6)/$B$5)),0)</f>
        <v>4898.12808219585</v>
      </c>
      <c r="D115" s="30" t="n">
        <f aca="false">B115-C115</f>
        <v>-10.1280821958453</v>
      </c>
    </row>
    <row r="116" customFormat="false" ht="15" hidden="false" customHeight="false" outlineLevel="0" collapsed="false">
      <c r="A116" s="28" t="n">
        <v>1.05</v>
      </c>
      <c r="B116" s="29" t="n">
        <v>4914.8</v>
      </c>
      <c r="C116" s="30" t="n">
        <f aca="false">IF(A116&gt;$B$6,$B$4*(1-EXP(-(A116-$B$6)/$B$5)),0)</f>
        <v>4920.61323466528</v>
      </c>
      <c r="D116" s="30" t="n">
        <f aca="false">B116-C116</f>
        <v>-5.81323466527829</v>
      </c>
    </row>
    <row r="117" customFormat="false" ht="15" hidden="false" customHeight="false" outlineLevel="0" collapsed="false">
      <c r="A117" s="28" t="n">
        <v>1.06</v>
      </c>
      <c r="B117" s="29" t="n">
        <v>4941.5</v>
      </c>
      <c r="C117" s="30" t="n">
        <f aca="false">IF(A117&gt;$B$6,$B$4*(1-EXP(-(A117-$B$6)/$B$5)),0)</f>
        <v>4942.7496790348</v>
      </c>
      <c r="D117" s="30" t="n">
        <f aca="false">B117-C117</f>
        <v>-1.24967903479865</v>
      </c>
    </row>
    <row r="118" customFormat="false" ht="15" hidden="false" customHeight="false" outlineLevel="0" collapsed="false">
      <c r="A118" s="28" t="n">
        <v>1.07</v>
      </c>
      <c r="B118" s="29" t="n">
        <v>4955</v>
      </c>
      <c r="C118" s="30" t="n">
        <f aca="false">IF(A118&gt;$B$6,$B$4*(1-EXP(-(A118-$B$6)/$B$5)),0)</f>
        <v>4964.5428231992</v>
      </c>
      <c r="D118" s="30" t="n">
        <f aca="false">B118-C118</f>
        <v>-9.54282319919912</v>
      </c>
    </row>
    <row r="119" customFormat="false" ht="15" hidden="false" customHeight="false" outlineLevel="0" collapsed="false">
      <c r="A119" s="28" t="n">
        <v>1.08</v>
      </c>
      <c r="B119" s="29" t="n">
        <v>4980.1</v>
      </c>
      <c r="C119" s="30" t="n">
        <f aca="false">IF(A119&gt;$B$6,$B$4*(1-EXP(-(A119-$B$6)/$B$5)),0)</f>
        <v>4985.99799118563</v>
      </c>
      <c r="D119" s="30" t="n">
        <f aca="false">B119-C119</f>
        <v>-5.89799118563042</v>
      </c>
    </row>
    <row r="120" customFormat="false" ht="15" hidden="false" customHeight="false" outlineLevel="0" collapsed="false">
      <c r="A120" s="28" t="n">
        <v>1.09</v>
      </c>
      <c r="B120" s="29" t="n">
        <v>5006.3</v>
      </c>
      <c r="C120" s="30" t="n">
        <f aca="false">IF(A120&gt;$B$6,$B$4*(1-EXP(-(A120-$B$6)/$B$5)),0)</f>
        <v>5007.12042445425</v>
      </c>
      <c r="D120" s="30" t="n">
        <f aca="false">B120-C120</f>
        <v>-0.820424454251224</v>
      </c>
    </row>
    <row r="121" customFormat="false" ht="15" hidden="false" customHeight="false" outlineLevel="0" collapsed="false">
      <c r="A121" s="28" t="n">
        <v>1.1</v>
      </c>
      <c r="B121" s="29" t="n">
        <v>5018.8</v>
      </c>
      <c r="C121" s="30" t="n">
        <f aca="false">IF(A121&gt;$B$6,$B$4*(1-EXP(-(A121-$B$6)/$B$5)),0)</f>
        <v>5027.91528317871</v>
      </c>
      <c r="D121" s="30" t="n">
        <f aca="false">B121-C121</f>
        <v>-9.11528317870761</v>
      </c>
    </row>
    <row r="122" customFormat="false" ht="15" hidden="false" customHeight="false" outlineLevel="0" collapsed="false">
      <c r="A122" s="28" t="n">
        <v>1.11</v>
      </c>
      <c r="B122" s="29" t="n">
        <v>5043.3</v>
      </c>
      <c r="C122" s="30" t="n">
        <f aca="false">IF(A122&gt;$B$6,$B$4*(1-EXP(-(A122-$B$6)/$B$5)),0)</f>
        <v>5048.38764750676</v>
      </c>
      <c r="D122" s="30" t="n">
        <f aca="false">B122-C122</f>
        <v>-5.08764750675709</v>
      </c>
    </row>
    <row r="123" customFormat="false" ht="15" hidden="false" customHeight="false" outlineLevel="0" collapsed="false">
      <c r="A123" s="28" t="n">
        <v>1.12</v>
      </c>
      <c r="B123" s="29" t="n">
        <v>5066.7</v>
      </c>
      <c r="C123" s="30" t="n">
        <f aca="false">IF(A123&gt;$B$6,$B$4*(1-EXP(-(A123-$B$6)/$B$5)),0)</f>
        <v>5068.54251880134</v>
      </c>
      <c r="D123" s="30" t="n">
        <f aca="false">B123-C123</f>
        <v>-1.84251880133797</v>
      </c>
    </row>
    <row r="124" customFormat="false" ht="15" hidden="false" customHeight="false" outlineLevel="0" collapsed="false">
      <c r="A124" s="28" t="n">
        <v>1.13</v>
      </c>
      <c r="B124" s="29" t="n">
        <v>5078.7</v>
      </c>
      <c r="C124" s="30" t="n">
        <f aca="false">IF(A124&gt;$B$6,$B$4*(1-EXP(-(A124-$B$6)/$B$5)),0)</f>
        <v>5088.38482086239</v>
      </c>
      <c r="D124" s="30" t="n">
        <f aca="false">B124-C124</f>
        <v>-9.68482086239055</v>
      </c>
    </row>
    <row r="125" customFormat="false" ht="15" hidden="false" customHeight="false" outlineLevel="0" collapsed="false">
      <c r="A125" s="28" t="n">
        <v>1.14</v>
      </c>
      <c r="B125" s="29" t="n">
        <v>5101.2</v>
      </c>
      <c r="C125" s="30" t="n">
        <f aca="false">IF(A125&gt;$B$6,$B$4*(1-EXP(-(A125-$B$6)/$B$5)),0)</f>
        <v>5107.91940112974</v>
      </c>
      <c r="D125" s="30" t="n">
        <f aca="false">B125-C125</f>
        <v>-6.71940112973971</v>
      </c>
    </row>
    <row r="126" customFormat="false" ht="15" hidden="false" customHeight="false" outlineLevel="0" collapsed="false">
      <c r="A126" s="28" t="n">
        <v>1.15</v>
      </c>
      <c r="B126" s="29" t="n">
        <v>5123.4</v>
      </c>
      <c r="C126" s="30" t="n">
        <f aca="false">IF(A126&gt;$B$6,$B$4*(1-EXP(-(A126-$B$6)/$B$5)),0)</f>
        <v>5127.15103186731</v>
      </c>
      <c r="D126" s="30" t="n">
        <f aca="false">B126-C126</f>
        <v>-3.75103186731121</v>
      </c>
    </row>
    <row r="127" customFormat="false" ht="15" hidden="false" customHeight="false" outlineLevel="0" collapsed="false">
      <c r="A127" s="28" t="n">
        <v>1.16</v>
      </c>
      <c r="B127" s="29" t="n">
        <v>5134.8</v>
      </c>
      <c r="C127" s="30" t="n">
        <f aca="false">IF(A127&gt;$B$6,$B$4*(1-EXP(-(A127-$B$6)/$B$5)),0)</f>
        <v>5146.08441132899</v>
      </c>
      <c r="D127" s="30" t="n">
        <f aca="false">B127-C127</f>
        <v>-11.2844113289857</v>
      </c>
    </row>
    <row r="128" customFormat="false" ht="15" hidden="false" customHeight="false" outlineLevel="0" collapsed="false">
      <c r="A128" s="28" t="n">
        <v>1.17</v>
      </c>
      <c r="B128" s="29" t="n">
        <v>5156.4</v>
      </c>
      <c r="C128" s="30" t="n">
        <f aca="false">IF(A128&gt;$B$6,$B$4*(1-EXP(-(A128-$B$6)/$B$5)),0)</f>
        <v>5164.72416490638</v>
      </c>
      <c r="D128" s="30" t="n">
        <f aca="false">B128-C128</f>
        <v>-8.32416490638298</v>
      </c>
    </row>
    <row r="129" customFormat="false" ht="15" hidden="false" customHeight="false" outlineLevel="0" collapsed="false">
      <c r="A129" s="28" t="n">
        <v>1.18</v>
      </c>
      <c r="B129" s="29" t="n">
        <v>5177.8</v>
      </c>
      <c r="C129" s="30" t="n">
        <f aca="false">IF(A129&gt;$B$6,$B$4*(1-EXP(-(A129-$B$6)/$B$5)),0)</f>
        <v>5183.07484625882</v>
      </c>
      <c r="D129" s="30" t="n">
        <f aca="false">B129-C129</f>
        <v>-5.27484625882244</v>
      </c>
    </row>
    <row r="130" customFormat="false" ht="15" hidden="false" customHeight="false" outlineLevel="0" collapsed="false">
      <c r="A130" s="28" t="n">
        <v>1.19</v>
      </c>
      <c r="B130" s="29" t="n">
        <v>5198.4</v>
      </c>
      <c r="C130" s="30" t="n">
        <f aca="false">IF(A130&gt;$B$6,$B$4*(1-EXP(-(A130-$B$6)/$B$5)),0)</f>
        <v>5201.14093842579</v>
      </c>
      <c r="D130" s="30" t="n">
        <f aca="false">B130-C130</f>
        <v>-2.74093842579077</v>
      </c>
    </row>
    <row r="131" customFormat="false" ht="15" hidden="false" customHeight="false" outlineLevel="0" collapsed="false">
      <c r="A131" s="28" t="n">
        <v>1.2</v>
      </c>
      <c r="B131" s="29" t="n">
        <v>5208.8</v>
      </c>
      <c r="C131" s="30" t="n">
        <f aca="false">IF(A131&gt;$B$6,$B$4*(1-EXP(-(A131-$B$6)/$B$5)),0)</f>
        <v>5218.92685492213</v>
      </c>
      <c r="D131" s="30" t="n">
        <f aca="false">B131-C131</f>
        <v>-10.1268549221259</v>
      </c>
    </row>
    <row r="132" customFormat="false" ht="15" hidden="false" customHeight="false" outlineLevel="0" collapsed="false">
      <c r="A132" s="28" t="n">
        <v>1.21</v>
      </c>
      <c r="B132" s="29" t="n">
        <v>5228.8</v>
      </c>
      <c r="C132" s="30" t="n">
        <f aca="false">IF(A132&gt;$B$6,$B$4*(1-EXP(-(A132-$B$6)/$B$5)),0)</f>
        <v>5236.43694081624</v>
      </c>
      <c r="D132" s="30" t="n">
        <f aca="false">B132-C132</f>
        <v>-7.6369408162418</v>
      </c>
    </row>
    <row r="133" customFormat="false" ht="15" hidden="false" customHeight="false" outlineLevel="0" collapsed="false">
      <c r="A133" s="28" t="n">
        <v>1.22</v>
      </c>
      <c r="B133" s="29" t="n">
        <v>5248</v>
      </c>
      <c r="C133" s="30" t="n">
        <f aca="false">IF(A133&gt;$B$6,$B$4*(1-EXP(-(A133-$B$6)/$B$5)),0)</f>
        <v>5253.67547379162</v>
      </c>
      <c r="D133" s="30" t="n">
        <f aca="false">B133-C133</f>
        <v>-5.67547379161624</v>
      </c>
    </row>
    <row r="134" customFormat="false" ht="15" hidden="false" customHeight="false" outlineLevel="0" collapsed="false">
      <c r="A134" s="28" t="n">
        <v>1.23</v>
      </c>
      <c r="B134" s="29" t="n">
        <v>5267.8</v>
      </c>
      <c r="C134" s="30" t="n">
        <f aca="false">IF(A134&gt;$B$6,$B$4*(1-EXP(-(A134-$B$6)/$B$5)),0)</f>
        <v>5270.64666519182</v>
      </c>
      <c r="D134" s="30" t="n">
        <f aca="false">B134-C134</f>
        <v>-2.84666519182065</v>
      </c>
    </row>
    <row r="135" customFormat="false" ht="15" hidden="false" customHeight="false" outlineLevel="0" collapsed="false">
      <c r="A135" s="28" t="n">
        <v>1.24</v>
      </c>
      <c r="B135" s="29" t="n">
        <v>5277.5</v>
      </c>
      <c r="C135" s="30" t="n">
        <f aca="false">IF(A135&gt;$B$6,$B$4*(1-EXP(-(A135-$B$6)/$B$5)),0)</f>
        <v>5287.35466104935</v>
      </c>
      <c r="D135" s="30" t="n">
        <f aca="false">B135-C135</f>
        <v>-9.85466104934585</v>
      </c>
    </row>
    <row r="136" customFormat="false" ht="15" hidden="false" customHeight="false" outlineLevel="0" collapsed="false">
      <c r="A136" s="28" t="n">
        <v>1.25</v>
      </c>
      <c r="B136" s="29" t="n">
        <v>5297.1</v>
      </c>
      <c r="C136" s="30" t="n">
        <f aca="false">IF(A136&gt;$B$6,$B$4*(1-EXP(-(A136-$B$6)/$B$5)),0)</f>
        <v>5303.80354309847</v>
      </c>
      <c r="D136" s="30" t="n">
        <f aca="false">B136-C136</f>
        <v>-6.70354309846971</v>
      </c>
    </row>
    <row r="137" customFormat="false" ht="15" hidden="false" customHeight="false" outlineLevel="0" collapsed="false">
      <c r="A137" s="28" t="n">
        <v>1.26</v>
      </c>
      <c r="B137" s="29" t="n">
        <v>5314.9</v>
      </c>
      <c r="C137" s="30" t="n">
        <f aca="false">IF(A137&gt;$B$6,$B$4*(1-EXP(-(A137-$B$6)/$B$5)),0)</f>
        <v>5319.99732977242</v>
      </c>
      <c r="D137" s="30" t="n">
        <f aca="false">B137-C137</f>
        <v>-5.09732977242129</v>
      </c>
    </row>
    <row r="138" customFormat="false" ht="15" hidden="false" customHeight="false" outlineLevel="0" collapsed="false">
      <c r="A138" s="28" t="n">
        <v>1.27</v>
      </c>
      <c r="B138" s="29" t="n">
        <v>5333.3</v>
      </c>
      <c r="C138" s="30" t="n">
        <f aca="false">IF(A138&gt;$B$6,$B$4*(1-EXP(-(A138-$B$6)/$B$5)),0)</f>
        <v>5335.93997718507</v>
      </c>
      <c r="D138" s="30" t="n">
        <f aca="false">B138-C138</f>
        <v>-2.63997718506835</v>
      </c>
    </row>
    <row r="139" customFormat="false" ht="15" hidden="false" customHeight="false" outlineLevel="0" collapsed="false">
      <c r="A139" s="28" t="n">
        <v>1.28</v>
      </c>
      <c r="B139" s="29" t="n">
        <v>5351.9</v>
      </c>
      <c r="C139" s="30" t="n">
        <f aca="false">IF(A139&gt;$B$6,$B$4*(1-EXP(-(A139-$B$6)/$B$5)),0)</f>
        <v>5351.6353800974</v>
      </c>
      <c r="D139" s="30" t="n">
        <f aca="false">B139-C139</f>
        <v>0.264619902599407</v>
      </c>
    </row>
    <row r="140" customFormat="false" ht="15" hidden="false" customHeight="false" outlineLevel="0" collapsed="false">
      <c r="A140" s="28" t="n">
        <v>1.29</v>
      </c>
      <c r="B140" s="29" t="n">
        <v>5360.5</v>
      </c>
      <c r="C140" s="30" t="n">
        <f aca="false">IF(A140&gt;$B$6,$B$4*(1-EXP(-(A140-$B$6)/$B$5)),0)</f>
        <v>5367.087372869</v>
      </c>
      <c r="D140" s="30" t="n">
        <f aca="false">B140-C140</f>
        <v>-6.58737286900214</v>
      </c>
    </row>
    <row r="141" customFormat="false" ht="15" hidden="false" customHeight="false" outlineLevel="0" collapsed="false">
      <c r="A141" s="28" t="n">
        <v>1.3</v>
      </c>
      <c r="B141" s="29" t="n">
        <v>5378.8</v>
      </c>
      <c r="C141" s="30" t="n">
        <f aca="false">IF(A141&gt;$B$6,$B$4*(1-EXP(-(A141-$B$6)/$B$5)),0)</f>
        <v>5382.29973039479</v>
      </c>
      <c r="D141" s="30" t="n">
        <f aca="false">B141-C141</f>
        <v>-3.49973039478755</v>
      </c>
    </row>
    <row r="142" customFormat="false" ht="15" hidden="false" customHeight="false" outlineLevel="0" collapsed="false">
      <c r="A142" s="28" t="n">
        <v>1.31</v>
      </c>
      <c r="B142" s="29" t="n">
        <v>5395.2</v>
      </c>
      <c r="C142" s="30" t="n">
        <f aca="false">IF(A142&gt;$B$6,$B$4*(1-EXP(-(A142-$B$6)/$B$5)),0)</f>
        <v>5397.2761690272</v>
      </c>
      <c r="D142" s="30" t="n">
        <f aca="false">B142-C142</f>
        <v>-2.07616902719565</v>
      </c>
    </row>
    <row r="143" customFormat="false" ht="15" hidden="false" customHeight="false" outlineLevel="0" collapsed="false">
      <c r="A143" s="28" t="n">
        <v>1.32</v>
      </c>
      <c r="B143" s="29" t="n">
        <v>5412.7</v>
      </c>
      <c r="C143" s="30" t="n">
        <f aca="false">IF(A143&gt;$B$6,$B$4*(1-EXP(-(A143-$B$6)/$B$5)),0)</f>
        <v>5412.02034748409</v>
      </c>
      <c r="D143" s="30" t="n">
        <f aca="false">B143-C143</f>
        <v>0.679652515907947</v>
      </c>
    </row>
    <row r="144" customFormat="false" ht="15" hidden="false" customHeight="false" outlineLevel="0" collapsed="false">
      <c r="A144" s="28" t="n">
        <v>1.33</v>
      </c>
      <c r="B144" s="29" t="n">
        <v>5429.9</v>
      </c>
      <c r="C144" s="30" t="n">
        <f aca="false">IF(A144&gt;$B$6,$B$4*(1-EXP(-(A144-$B$6)/$B$5)),0)</f>
        <v>5426.53586774259</v>
      </c>
      <c r="D144" s="30" t="n">
        <f aca="false">B144-C144</f>
        <v>3.36413225741399</v>
      </c>
    </row>
    <row r="145" customFormat="false" ht="15" hidden="false" customHeight="false" outlineLevel="0" collapsed="false">
      <c r="A145" s="28" t="n">
        <v>1.34</v>
      </c>
      <c r="B145" s="29" t="n">
        <v>5437.7</v>
      </c>
      <c r="C145" s="30" t="n">
        <f aca="false">IF(A145&gt;$B$6,$B$4*(1-EXP(-(A145-$B$6)/$B$5)),0)</f>
        <v>5440.82627591899</v>
      </c>
      <c r="D145" s="30" t="n">
        <f aca="false">B145-C145</f>
        <v>-3.1262759189849</v>
      </c>
    </row>
    <row r="146" customFormat="false" ht="15" hidden="false" customHeight="false" outlineLevel="0" collapsed="false">
      <c r="A146" s="28" t="n">
        <v>1.35</v>
      </c>
      <c r="B146" s="29" t="n">
        <v>5454</v>
      </c>
      <c r="C146" s="30" t="n">
        <f aca="false">IF(A146&gt;$B$6,$B$4*(1-EXP(-(A146-$B$6)/$B$5)),0)</f>
        <v>5454.89506313511</v>
      </c>
      <c r="D146" s="30" t="n">
        <f aca="false">B146-C146</f>
        <v>-0.89506313511265</v>
      </c>
    </row>
    <row r="147" customFormat="false" ht="15" hidden="false" customHeight="false" outlineLevel="0" collapsed="false">
      <c r="A147" s="28" t="n">
        <v>1.36</v>
      </c>
      <c r="B147" s="29" t="n">
        <v>5471.5</v>
      </c>
      <c r="C147" s="30" t="n">
        <f aca="false">IF(A147&gt;$B$6,$B$4*(1-EXP(-(A147-$B$6)/$B$5)),0)</f>
        <v>5468.74566637117</v>
      </c>
      <c r="D147" s="30" t="n">
        <f aca="false">B147-C147</f>
        <v>2.75433362882814</v>
      </c>
    </row>
    <row r="148" customFormat="false" ht="15" hidden="false" customHeight="false" outlineLevel="0" collapsed="false">
      <c r="A148" s="28" t="n">
        <v>1.37</v>
      </c>
      <c r="B148" s="29" t="n">
        <v>5488.5</v>
      </c>
      <c r="C148" s="30" t="n">
        <f aca="false">IF(A148&gt;$B$6,$B$4*(1-EXP(-(A148-$B$6)/$B$5)),0)</f>
        <v>5482.3814693054</v>
      </c>
      <c r="D148" s="30" t="n">
        <f aca="false">B148-C148</f>
        <v>6.1185306945963</v>
      </c>
    </row>
    <row r="149" customFormat="false" ht="15" hidden="false" customHeight="false" outlineLevel="0" collapsed="false">
      <c r="A149" s="28" t="n">
        <v>1.38</v>
      </c>
      <c r="B149" s="29" t="n">
        <v>5504.6</v>
      </c>
      <c r="C149" s="30" t="n">
        <f aca="false">IF(A149&gt;$B$6,$B$4*(1-EXP(-(A149-$B$6)/$B$5)),0)</f>
        <v>5495.80580314071</v>
      </c>
      <c r="D149" s="30" t="n">
        <f aca="false">B149-C149</f>
        <v>8.79419685929315</v>
      </c>
    </row>
    <row r="150" customFormat="false" ht="15" hidden="false" customHeight="false" outlineLevel="0" collapsed="false">
      <c r="A150" s="28" t="n">
        <v>1.39</v>
      </c>
      <c r="B150" s="29" t="n">
        <v>5520.3</v>
      </c>
      <c r="C150" s="30" t="n">
        <f aca="false">IF(A150&gt;$B$6,$B$4*(1-EXP(-(A150-$B$6)/$B$5)),0)</f>
        <v>5509.02194741845</v>
      </c>
      <c r="D150" s="30" t="n">
        <f aca="false">B150-C150</f>
        <v>11.2780525815515</v>
      </c>
    </row>
    <row r="151" customFormat="false" ht="15" hidden="false" customHeight="false" outlineLevel="0" collapsed="false">
      <c r="A151" s="28" t="n">
        <v>1.4</v>
      </c>
      <c r="B151" s="29" t="n">
        <v>5534.5</v>
      </c>
      <c r="C151" s="30" t="n">
        <f aca="false">IF(A151&gt;$B$6,$B$4*(1-EXP(-(A151-$B$6)/$B$5)),0)</f>
        <v>5522.03313081965</v>
      </c>
      <c r="D151" s="30" t="n">
        <f aca="false">B151-C151</f>
        <v>12.4668691803472</v>
      </c>
    </row>
    <row r="152" customFormat="false" ht="15" hidden="false" customHeight="false" outlineLevel="0" collapsed="false">
      <c r="A152" s="28" t="n">
        <v>1.41</v>
      </c>
      <c r="B152" s="29" t="n">
        <v>5542.2</v>
      </c>
      <c r="C152" s="30" t="n">
        <f aca="false">IF(A152&gt;$B$6,$B$4*(1-EXP(-(A152-$B$6)/$B$5)),0)</f>
        <v>5534.84253195375</v>
      </c>
      <c r="D152" s="30" t="n">
        <f aca="false">B152-C152</f>
        <v>7.35746804624796</v>
      </c>
    </row>
    <row r="153" customFormat="false" ht="15" hidden="false" customHeight="false" outlineLevel="0" collapsed="false">
      <c r="A153" s="28" t="n">
        <v>1.42</v>
      </c>
      <c r="B153" s="29" t="n">
        <v>5556.6</v>
      </c>
      <c r="C153" s="30" t="n">
        <f aca="false">IF(A153&gt;$B$6,$B$4*(1-EXP(-(A153-$B$6)/$B$5)),0)</f>
        <v>5547.45328013513</v>
      </c>
      <c r="D153" s="30" t="n">
        <f aca="false">B153-C153</f>
        <v>9.14671986487156</v>
      </c>
    </row>
    <row r="154" customFormat="false" ht="15" hidden="false" customHeight="false" outlineLevel="0" collapsed="false">
      <c r="A154" s="28" t="n">
        <v>1.43</v>
      </c>
      <c r="B154" s="29" t="n">
        <v>5570.5</v>
      </c>
      <c r="C154" s="30" t="n">
        <f aca="false">IF(A154&gt;$B$6,$B$4*(1-EXP(-(A154-$B$6)/$B$5)),0)</f>
        <v>5559.86845614759</v>
      </c>
      <c r="D154" s="30" t="n">
        <f aca="false">B154-C154</f>
        <v>10.631543852408</v>
      </c>
    </row>
    <row r="155" customFormat="false" ht="15" hidden="false" customHeight="false" outlineLevel="0" collapsed="false">
      <c r="A155" s="28" t="n">
        <v>1.44</v>
      </c>
      <c r="B155" s="29" t="n">
        <v>5584.5</v>
      </c>
      <c r="C155" s="30" t="n">
        <f aca="false">IF(A155&gt;$B$6,$B$4*(1-EXP(-(A155-$B$6)/$B$5)),0)</f>
        <v>5572.09109299701</v>
      </c>
      <c r="D155" s="30" t="n">
        <f aca="false">B155-C155</f>
        <v>12.4089070029895</v>
      </c>
    </row>
    <row r="156" customFormat="false" ht="15" hidden="false" customHeight="false" outlineLevel="0" collapsed="false">
      <c r="A156" s="28" t="n">
        <v>1.45</v>
      </c>
      <c r="B156" s="29" t="n">
        <v>5598.6</v>
      </c>
      <c r="C156" s="30" t="n">
        <f aca="false">IF(A156&gt;$B$6,$B$4*(1-EXP(-(A156-$B$6)/$B$5)),0)</f>
        <v>5584.12417665227</v>
      </c>
      <c r="D156" s="30" t="n">
        <f aca="false">B156-C156</f>
        <v>14.4758233477269</v>
      </c>
    </row>
    <row r="157" customFormat="false" ht="15" hidden="false" customHeight="false" outlineLevel="0" collapsed="false">
      <c r="A157" s="28" t="n">
        <v>1.46</v>
      </c>
      <c r="B157" s="29" t="n">
        <v>5611.7</v>
      </c>
      <c r="C157" s="30" t="n">
        <f aca="false">IF(A157&gt;$B$6,$B$4*(1-EXP(-(A157-$B$6)/$B$5)),0)</f>
        <v>5595.97064677475</v>
      </c>
      <c r="D157" s="30" t="n">
        <f aca="false">B157-C157</f>
        <v>15.7293532252479</v>
      </c>
    </row>
    <row r="158" customFormat="false" ht="15" hidden="false" customHeight="false" outlineLevel="0" collapsed="false">
      <c r="A158" s="28" t="n">
        <v>1.47</v>
      </c>
      <c r="B158" s="29" t="n">
        <v>5624.8</v>
      </c>
      <c r="C158" s="30" t="n">
        <f aca="false">IF(A158&gt;$B$6,$B$4*(1-EXP(-(A158-$B$6)/$B$5)),0)</f>
        <v>5607.63339743646</v>
      </c>
      <c r="D158" s="30" t="n">
        <f aca="false">B158-C158</f>
        <v>17.1666025635432</v>
      </c>
    </row>
    <row r="159" customFormat="false" ht="15" hidden="false" customHeight="false" outlineLevel="0" collapsed="false">
      <c r="A159" s="28" t="n">
        <v>1.48</v>
      </c>
      <c r="B159" s="29" t="n">
        <v>5631.7</v>
      </c>
      <c r="C159" s="30" t="n">
        <f aca="false">IF(A159&gt;$B$6,$B$4*(1-EXP(-(A159-$B$6)/$B$5)),0)</f>
        <v>5619.11527782706</v>
      </c>
      <c r="D159" s="30" t="n">
        <f aca="false">B159-C159</f>
        <v>12.5847221729427</v>
      </c>
    </row>
    <row r="160" customFormat="false" ht="15" hidden="false" customHeight="false" outlineLevel="0" collapsed="false">
      <c r="A160" s="28" t="n">
        <v>1.49</v>
      </c>
      <c r="B160" s="29" t="n">
        <v>5644.4</v>
      </c>
      <c r="C160" s="30" t="n">
        <f aca="false">IF(A160&gt;$B$6,$B$4*(1-EXP(-(A160-$B$6)/$B$5)),0)</f>
        <v>5630.41909294993</v>
      </c>
      <c r="D160" s="30" t="n">
        <f aca="false">B160-C160</f>
        <v>13.9809070500723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2026-10-22T18:28:03Z</dcterms:created>
  <dc:creator>openpyxl</dc:creator>
  <dc:description/>
  <dc:language>en-US</dc:language>
  <cp:lastModifiedBy/>
  <dcterms:modified xsi:type="dcterms:W3CDTF">2026-10-23T01:28:07Z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